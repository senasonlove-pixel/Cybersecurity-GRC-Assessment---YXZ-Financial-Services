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GRC_PROJECTS\YXZ_GRC\"/>
    </mc:Choice>
  </mc:AlternateContent>
  <xr:revisionPtr revIDLastSave="0" documentId="8_{F8430348-D134-4E91-96A6-427F530506F0}" xr6:coauthVersionLast="47" xr6:coauthVersionMax="47" xr10:uidLastSave="{00000000-0000-0000-0000-000000000000}"/>
  <bookViews>
    <workbookView xWindow="0" yWindow="0" windowWidth="19200" windowHeight="10080" tabRatio="500" xr2:uid="{00000000-000D-0000-FFFF-FFFF00000000}"/>
  </bookViews>
  <sheets>
    <sheet name="Risk Register" sheetId="1" r:id="rId1"/>
    <sheet name="Heat Map &amp; Dashboard" sheetId="2" r:id="rId2"/>
    <sheet name="Legend &amp; Methodology" sheetId="3" r:id="rId3"/>
  </sheets>
  <definedNames>
    <definedName name="_xlnm._FilterDatabase" localSheetId="0" hidden="1">'Risk Register'!$A$4:$U$30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O30" i="1"/>
  <c r="P30" i="1" s="1"/>
  <c r="I30" i="1"/>
  <c r="J30" i="1" s="1"/>
  <c r="P29" i="1"/>
  <c r="O29" i="1"/>
  <c r="J29" i="1"/>
  <c r="I29" i="1"/>
  <c r="O28" i="1"/>
  <c r="P28" i="1" s="1"/>
  <c r="I28" i="1"/>
  <c r="J28" i="1" s="1"/>
  <c r="P27" i="1"/>
  <c r="O27" i="1"/>
  <c r="J27" i="1"/>
  <c r="I27" i="1"/>
  <c r="O26" i="1"/>
  <c r="P26" i="1" s="1"/>
  <c r="I26" i="1"/>
  <c r="J26" i="1" s="1"/>
  <c r="P25" i="1"/>
  <c r="O25" i="1"/>
  <c r="J25" i="1"/>
  <c r="I25" i="1"/>
  <c r="O24" i="1"/>
  <c r="P24" i="1" s="1"/>
  <c r="I24" i="1"/>
  <c r="J24" i="1" s="1"/>
  <c r="P23" i="1"/>
  <c r="O23" i="1"/>
  <c r="J23" i="1"/>
  <c r="I23" i="1"/>
  <c r="O22" i="1"/>
  <c r="P22" i="1" s="1"/>
  <c r="I22" i="1"/>
  <c r="J22" i="1" s="1"/>
  <c r="P21" i="1"/>
  <c r="O21" i="1"/>
  <c r="J21" i="1"/>
  <c r="I21" i="1"/>
  <c r="O20" i="1"/>
  <c r="P20" i="1" s="1"/>
  <c r="I20" i="1"/>
  <c r="J20" i="1" s="1"/>
  <c r="P19" i="1"/>
  <c r="O19" i="1"/>
  <c r="J19" i="1"/>
  <c r="I19" i="1"/>
  <c r="O18" i="1"/>
  <c r="P18" i="1" s="1"/>
  <c r="I18" i="1"/>
  <c r="J18" i="1" s="1"/>
  <c r="P17" i="1"/>
  <c r="O17" i="1"/>
  <c r="J17" i="1"/>
  <c r="I17" i="1"/>
  <c r="O16" i="1"/>
  <c r="P16" i="1" s="1"/>
  <c r="I16" i="1"/>
  <c r="J16" i="1" s="1"/>
  <c r="P15" i="1"/>
  <c r="O15" i="1"/>
  <c r="J15" i="1"/>
  <c r="I15" i="1"/>
  <c r="O14" i="1"/>
  <c r="P14" i="1" s="1"/>
  <c r="I14" i="1"/>
  <c r="J14" i="1" s="1"/>
  <c r="P13" i="1"/>
  <c r="O13" i="1"/>
  <c r="J13" i="1"/>
  <c r="I13" i="1"/>
  <c r="O12" i="1"/>
  <c r="P12" i="1" s="1"/>
  <c r="I12" i="1"/>
  <c r="J12" i="1" s="1"/>
  <c r="P11" i="1"/>
  <c r="O11" i="1"/>
  <c r="J11" i="1"/>
  <c r="I11" i="1"/>
  <c r="O10" i="1"/>
  <c r="P10" i="1" s="1"/>
  <c r="I10" i="1"/>
  <c r="J10" i="1" s="1"/>
  <c r="P9" i="1"/>
  <c r="O9" i="1"/>
  <c r="J9" i="1"/>
  <c r="I9" i="1"/>
  <c r="O8" i="1"/>
  <c r="P8" i="1" s="1"/>
  <c r="I8" i="1"/>
  <c r="J8" i="1" s="1"/>
  <c r="P7" i="1"/>
  <c r="O7" i="1"/>
  <c r="J7" i="1"/>
  <c r="I7" i="1"/>
  <c r="O6" i="1"/>
  <c r="P6" i="1" s="1"/>
  <c r="I6" i="1"/>
  <c r="J6" i="1" s="1"/>
  <c r="P5" i="1"/>
  <c r="E16" i="2" s="1"/>
  <c r="O5" i="1"/>
  <c r="J5" i="1"/>
  <c r="C14" i="2" s="1"/>
  <c r="I5" i="1"/>
  <c r="E14" i="2" l="1"/>
  <c r="C15" i="2"/>
  <c r="E15" i="2"/>
  <c r="C13" i="2"/>
  <c r="E13" i="2"/>
  <c r="C16" i="2"/>
</calcChain>
</file>

<file path=xl/sharedStrings.xml><?xml version="1.0" encoding="utf-8"?>
<sst xmlns="http://schemas.openxmlformats.org/spreadsheetml/2006/main" count="421" uniqueCount="312">
  <si>
    <t>YXZ Financial Services Group — Enterprise Cybersecurity GRC Risk Register</t>
  </si>
  <si>
    <t>Risk ID</t>
  </si>
  <si>
    <t>Service Line</t>
  </si>
  <si>
    <t>Jurisdiction(s)</t>
  </si>
  <si>
    <t>Risk Category</t>
  </si>
  <si>
    <t>Risk / Threat Description</t>
  </si>
  <si>
    <t>Root Cause / Vulnerability</t>
  </si>
  <si>
    <t>Likelihood (1-5)</t>
  </si>
  <si>
    <t>Impact (1-5)</t>
  </si>
  <si>
    <t>Inherent Risk Score</t>
  </si>
  <si>
    <t>Inherent Rating</t>
  </si>
  <si>
    <t>Key Existing Controls</t>
  </si>
  <si>
    <t>Control Effectiveness (1-5, 5=Strong)</t>
  </si>
  <si>
    <t>Residual Likelihood (1-5)</t>
  </si>
  <si>
    <t>Residual Impact (1-5)</t>
  </si>
  <si>
    <t>Residual Risk Score</t>
  </si>
  <si>
    <t>Residual Rating</t>
  </si>
  <si>
    <t>Regulatory / Standard Mapping</t>
  </si>
  <si>
    <t>Risk Owner</t>
  </si>
  <si>
    <t>Treatment / Mitigation Plan</t>
  </si>
  <si>
    <t>Target Date</t>
  </si>
  <si>
    <t>Status</t>
  </si>
  <si>
    <t>R-001</t>
  </si>
  <si>
    <t>General Banking</t>
  </si>
  <si>
    <t>UK / Africa (multi-country)</t>
  </si>
  <si>
    <t>Cyber - Fraud</t>
  </si>
  <si>
    <t>Business Email Compromise (BEC) targeting wire/SWIFT payment approval workflows, leading to fraudulent fund transfers.</t>
  </si>
  <si>
    <t>Weak email authentication (SPF/DKIM/DMARC gaps); single-approver payment workflows; limited staff phishing resilience.</t>
  </si>
  <si>
    <t>Dual-approval on payments above threshold; basic email filtering</t>
  </si>
  <si>
    <t>SWIFT CSP; FCA SYSC; CBN Cybersecurity Framework; NIST CSF 2.0 (PR.AC)</t>
  </si>
  <si>
    <t>CISO / Head of Payments</t>
  </si>
  <si>
    <t>Enforce DMARC p=reject; implement out-of-band callback verification for payment changes; mandatory phishing simulation program.</t>
  </si>
  <si>
    <t>Q1 2027</t>
  </si>
  <si>
    <t>Open</t>
  </si>
  <si>
    <t>R-002</t>
  </si>
  <si>
    <t>Cyber</t>
  </si>
  <si>
    <t>Compromise of SWIFT messaging environment or non-conformance with SWIFT Customer Security Programme (CSP) controls.</t>
  </si>
  <si>
    <t>Incomplete CSP self-attestation; flat network segmentation between SWIFT infrastructure and general corporate network.</t>
  </si>
  <si>
    <t>SWIFT CSP self-attestation submitted; jump-server access to SWIFT Alliance</t>
  </si>
  <si>
    <t>SWIFT CSP; ISO/IEC 27001 A.13; CBN/SARB payment system oversight</t>
  </si>
  <si>
    <t>Head of Payments / CISO</t>
  </si>
  <si>
    <t>Independent CSP compliance audit; enforce secure-zone segmentation; privileged access management (PAM) for SWIFT operators.</t>
  </si>
  <si>
    <t>Q4 2026</t>
  </si>
  <si>
    <t>R-003</t>
  </si>
  <si>
    <t>Africa (multi-country)</t>
  </si>
  <si>
    <t>Cyber - Legacy Tech</t>
  </si>
  <si>
    <t>Exploitation of vulnerabilities in the Core Banking System (CBS), including unpatched legacy modules at country subsidiaries.</t>
  </si>
  <si>
    <t>Aging CBS versions; inconsistent patch cadence across subsidiaries; limited vulnerability management maturity.</t>
  </si>
  <si>
    <t>Periodic vulnerability scans; vendor patch notifications</t>
  </si>
  <si>
    <t>NIST CSF 2.0 (ID.RA, PR.IP); ISO/IEC 27001; CBN/SARB IT risk guidelines</t>
  </si>
  <si>
    <t>Group Head of IT Infrastructure</t>
  </si>
  <si>
    <t>Establish group-wide patch SLA; CBS modernization roadmap; compensating WAF/IPS controls at subsidiaries on older releases.</t>
  </si>
  <si>
    <t>Q2 2027</t>
  </si>
  <si>
    <t>R-004</t>
  </si>
  <si>
    <t>Insider Threat</t>
  </si>
  <si>
    <t>Privileged-user abuse or credential misuse within CBS enabling unauthorized transactions or data exfiltration.</t>
  </si>
  <si>
    <t>Excessive standing privileged access; limited privileged session monitoring; weak segregation of duties (SoD).</t>
  </si>
  <si>
    <t>Role-based access control; quarterly access review</t>
  </si>
  <si>
    <t>ISO/IEC 27001 A.9; NIST CSF 2.0 (PR.AC-4); PRA SS2/21 operational resilience</t>
  </si>
  <si>
    <t>Group CISO</t>
  </si>
  <si>
    <t>Deploy Privileged Access Management (PAM) with session recording; enforce SoD matrix via RACI; real-time UEBA alerting.</t>
  </si>
  <si>
    <t>R-005</t>
  </si>
  <si>
    <t>Third-Party / Vendor</t>
  </si>
  <si>
    <t>Cybersecurity incident at an outsourced IT/managed-service or cloud provider cascading into YXZ's environment.</t>
  </si>
  <si>
    <t>Limited vendor security due-diligence; no standardized third-party risk assessment across jurisdictions.</t>
  </si>
  <si>
    <t>Vendor contracts include general confidentiality clauses</t>
  </si>
  <si>
    <t>ISO/IEC 27001 A.15; PRA/FCA outsourcing &amp; third-party risk rules; NIST CSF 2.0 (GV.SC)</t>
  </si>
  <si>
    <t>Head of Procurement / CISO</t>
  </si>
  <si>
    <t>Implement Third-Party Risk Management (TPRM) program; require SOC 2/ISO 27001 evidence; contractual right-to-audit clauses.</t>
  </si>
  <si>
    <t>R-006</t>
  </si>
  <si>
    <t>Cyber - Ransomware</t>
  </si>
  <si>
    <t>Ransomware deployment against banking infrastructure disrupting CBS availability and customer-facing channels.</t>
  </si>
  <si>
    <t>Insufficient network segmentation; backup restoration not regularly tested; endpoint detection gaps at subsidiaries.</t>
  </si>
  <si>
    <t>Nightly backups; signature-based antivirus</t>
  </si>
  <si>
    <t>NIST CSF 2.0 (RS/RC); ISO/IEC 27001 A.17; CBN Cybersecurity Framework</t>
  </si>
  <si>
    <t>CISO / Group Head of IT</t>
  </si>
  <si>
    <t>Deploy EDR/XDR across estate; immutable/offline backup copies; conduct ransomware tabletop and restoration drills.</t>
  </si>
  <si>
    <t>R-007</t>
  </si>
  <si>
    <t>Data Privacy</t>
  </si>
  <si>
    <t>Breach or mishandling of customer PII due to inconsistent Data Protection Impact Assessment (DPIA) practice across dual-jurisdiction data flows.</t>
  </si>
  <si>
    <t>No harmonized DPIA process across UK GDPR and African data-protection regimes; cross-border data transfer gaps.</t>
  </si>
  <si>
    <t>DPIAs performed ad-hoc for UK operations only</t>
  </si>
  <si>
    <t>UK GDPR/DPA 2018; NDPR (Nigeria) and other national data-protection laws; ISO/IEC 27701</t>
  </si>
  <si>
    <t>Group DPO</t>
  </si>
  <si>
    <t>Standardize DPIA methodology group-wide; map cross-border data flows; appoint local data-protection leads per jurisdiction.</t>
  </si>
  <si>
    <t>R-008</t>
  </si>
  <si>
    <t>AML / CFT</t>
  </si>
  <si>
    <t>Gaps in transaction-monitoring rules and typology coverage increasing exposure to FATF grey-list / regional mutual evaluation findings.</t>
  </si>
  <si>
    <t>Static monitoring thresholds; limited integration between CBS and AML platform; under-resourced financial-crime team.</t>
  </si>
  <si>
    <t>Transaction monitoring system in place; periodic SAR filing</t>
  </si>
  <si>
    <t>FATF Recommendations; GIABA; ESAAMLG; CBN/SARB/BOG AML regulations</t>
  </si>
  <si>
    <t>Head of Financial Crime / MLRO</t>
  </si>
  <si>
    <t>Tune monitoring typologies to trade/mobile-money channels; independent AML effectiveness review; increase FinCrime staffing.</t>
  </si>
  <si>
    <t>Q3 2026</t>
  </si>
  <si>
    <t>In Progress</t>
  </si>
  <si>
    <t>R-009</t>
  </si>
  <si>
    <t>Fintech &amp; Mobile Money</t>
  </si>
  <si>
    <t>Fraud</t>
  </si>
  <si>
    <t>SIM-swap fraud enabling account takeover of mobile money wallets and USSD banking sessions.</t>
  </si>
  <si>
    <t>Reliance on SMS OTP as sole authentication factor; limited MNO coordination on SIM-swap alerts.</t>
  </si>
  <si>
    <t>SMS OTP; customer alerts on transactions</t>
  </si>
  <si>
    <t>GSMA guidelines; CBN/BOG mobile money regulations; NIST CSF 2.0 (PR.AC)</t>
  </si>
  <si>
    <t>Head of Mobile Money / CISO</t>
  </si>
  <si>
    <t>Introduce device-binding and risk-based authentication; real-time MNO SIM-swap notification feed; step-up auth for high-risk transactions.</t>
  </si>
  <si>
    <t>R-010</t>
  </si>
  <si>
    <t>USSD channel session hijacking or man-in-the-middle interception due to unencrypted USSD protocol characteristics.</t>
  </si>
  <si>
    <t>USSD inherently lacks end-to-end encryption; limited session timeout controls; shared agent devices.</t>
  </si>
  <si>
    <t>Session timeout after inactivity</t>
  </si>
  <si>
    <t>GSMA; CBN/BOG mobile money guidelines; ISO/IEC 27001</t>
  </si>
  <si>
    <t>Head of Mobile Money</t>
  </si>
  <si>
    <t>Migrate high-value transactions to app/API channels with encryption; shorten USSD session windows; agent device hardening.</t>
  </si>
  <si>
    <t>R-011</t>
  </si>
  <si>
    <t>Africa / UK</t>
  </si>
  <si>
    <t>Cyber - API Security</t>
  </si>
  <si>
    <t>Insecure APIs connecting mobile money platform to agent networks, merchants, and banking partners expose data or enable transaction manipulation.</t>
  </si>
  <si>
    <t>Lack of API gateway with rate-limiting/authentication standards; inconsistent use of mutual TLS across integrations.</t>
  </si>
  <si>
    <t>API keys issued per partner</t>
  </si>
  <si>
    <t>PCI-DSS; PSD2 (UK); ISO/IEC 27001 A.14; NIST CSF 2.0 (PR.DS)</t>
  </si>
  <si>
    <t>Head of Engineering / CISO</t>
  </si>
  <si>
    <t>Deploy API gateway with OAuth2.0/mTLS, throttling and anomaly detection; conduct API penetration testing pre-release.</t>
  </si>
  <si>
    <t>R-012</t>
  </si>
  <si>
    <t>AML / Compliance</t>
  </si>
  <si>
    <t>Weak agent-network KYC/onboarding controls enabling mule-account creation and layering of illicit funds.</t>
  </si>
  <si>
    <t>Manual/paper-based agent KYC in some markets; limited agent oversight and audit cadence.</t>
  </si>
  <si>
    <t>Agent onboarding checklist; periodic agent audits</t>
  </si>
  <si>
    <t>FATF; GIABA; ESAAMLG; national mobile money AML directives</t>
  </si>
  <si>
    <t>Head of Agent Network / MLRO</t>
  </si>
  <si>
    <t>Digitize agent KYC with biometric verification; risk-tier agents; increase unannounced agent audits.</t>
  </si>
  <si>
    <t>R-013</t>
  </si>
  <si>
    <t>Availability</t>
  </si>
  <si>
    <t>Distributed Denial of Service (DDoS) or platform outage disrupting mobile money service availability during peak periods.</t>
  </si>
  <si>
    <t>No DDoS scrubbing/CDN protection; single-region hosting for core mobile money platform.</t>
  </si>
  <si>
    <t>Basic firewall; on-call incident team</t>
  </si>
  <si>
    <t>NIST CSF 2.0 (PR.PT, RS.MI); ISO/IEC 22301 (BCM)</t>
  </si>
  <si>
    <t>Head of Infrastructure</t>
  </si>
  <si>
    <t>Implement DDoS scrubbing/CDN; multi-region redundancy; formal Business Continuity Plan (BCP) test for mobile money.</t>
  </si>
  <si>
    <t>R-014</t>
  </si>
  <si>
    <t>UK</t>
  </si>
  <si>
    <t>Regulatory Compliance</t>
  </si>
  <si>
    <t>Non-compliance with PSD2 Strong Customer Authentication (SCA) requirements for UK-regulated payment services.</t>
  </si>
  <si>
    <t>Legacy authentication flows not updated to meet SCA/RTS exemption rules; incomplete transaction risk analysis (TRA) engine.</t>
  </si>
  <si>
    <t>Basic two-factor authentication on UK app</t>
  </si>
  <si>
    <t>PSD2; FCA Payment Services Regulations 2017</t>
  </si>
  <si>
    <t>Head of UK Payments / Compliance</t>
  </si>
  <si>
    <t>Implement SCA-compliant authentication with dynamic linking; document TRA exemption logic; FCA compliance attestation.</t>
  </si>
  <si>
    <t>R-015</t>
  </si>
  <si>
    <t>AML / FX Compliance</t>
  </si>
  <si>
    <t>Unregulated or poorly monitored cross-border mobile money remittance flows creating FX control and AML exposure.</t>
  </si>
  <si>
    <t>Fragmented cross-border settlement arrangements; limited regulatory harmonization across corridors.</t>
  </si>
  <si>
    <t>Manual reconciliation of cross-border flows</t>
  </si>
  <si>
    <t>FATF; national FX control regulations; GIABA/ESAAMLG</t>
  </si>
  <si>
    <t>Head of Treasury / MLRO</t>
  </si>
  <si>
    <t>Formalize cross-border corridor agreements; automated FX/AML reconciliation; enhanced corridor risk assessments.</t>
  </si>
  <si>
    <t>R-016</t>
  </si>
  <si>
    <t>Project &amp; Shipping (Trade) Finance</t>
  </si>
  <si>
    <t>AIS (Automatic Identification System) spoofing or vessel-identity manipulation used to facilitate trade-based money laundering or fraudulent cargo claims.</t>
  </si>
  <si>
    <t>Reliance on vessel-tracking data without independent verification; limited maritime-fraud detection expertise.</t>
  </si>
  <si>
    <t>Manual review of shipping documents</t>
  </si>
  <si>
    <t>FATF Trade-Based Money Laundering guidance; ISO/IEC 27001; sanctions regimes</t>
  </si>
  <si>
    <t>Head of Trade Finance</t>
  </si>
  <si>
    <t>Subscribe to independent AIS/vessel-verification services; train trade-finance staff on maritime fraud typologies.</t>
  </si>
  <si>
    <t>R-017</t>
  </si>
  <si>
    <t>Trade document fraud, including forged bills of lading, letters of credit, or duplicate invoicing across financed shipments.</t>
  </si>
  <si>
    <t>Paper-based document handling; limited digital verification/authentication tools for trade documents.</t>
  </si>
  <si>
    <t>Manual document checklist per ICC UCP 600</t>
  </si>
  <si>
    <t>ICC UCP 600; FATF TBML guidance; ISO/IEC 27001</t>
  </si>
  <si>
    <t>Head of Trade Finance / Ops</t>
  </si>
  <si>
    <t>Adopt digital trade-document verification/blockchain-based platforms; independent document authentication checks.</t>
  </si>
  <si>
    <t>R-018</t>
  </si>
  <si>
    <t>Sanctions / Compliance</t>
  </si>
  <si>
    <t>Gaps in sanctions screening of shipping counterparties, vessels, and beneficial owners in project/trade finance transactions.</t>
  </si>
  <si>
    <t>Screening tool not integrated with vessel/ownership databases; infrequent list updates; limited beneficial-ownership visibility.</t>
  </si>
  <si>
    <t>Sanctions list screening at onboarding only</t>
  </si>
  <si>
    <t>OFAC/UK OFSI/UN sanctions regimes; FATF; ISO/IEC 27001</t>
  </si>
  <si>
    <t>Head of Compliance</t>
  </si>
  <si>
    <t>Continuous (not point-in-time) sanctions screening; integrate vessel/ownership intelligence feeds; enhanced due diligence workflow.</t>
  </si>
  <si>
    <t>R-019</t>
  </si>
  <si>
    <t>Cyber - Supply Chain</t>
  </si>
  <si>
    <t>Cyber compromise at port authorities, logistics partners, or shipping platforms cascading into YXZ trade finance data and decisioning.</t>
  </si>
  <si>
    <t>Limited visibility into partner cybersecurity posture; direct system integrations without segmentation.</t>
  </si>
  <si>
    <t>Basic vendor confidentiality agreements</t>
  </si>
  <si>
    <t>ISO/IEC 27001 A.15; NIST CSF 2.0 (GV.SC); FCA operational resilience</t>
  </si>
  <si>
    <t>Head of Trade Finance / CISO</t>
  </si>
  <si>
    <t>Extend TPRM program to logistics/port partners; segment integration points; incident-notification SLAs in contracts.</t>
  </si>
  <si>
    <t>Q3 2027</t>
  </si>
  <si>
    <t>R-020</t>
  </si>
  <si>
    <t>Non-compliance with dual-use goods and export-control requirements embedded in project finance transactions.</t>
  </si>
  <si>
    <t>Limited export-control screening expertise; reliance on client self-declaration.</t>
  </si>
  <si>
    <t>Client self-declaration reviewed at underwriting</t>
  </si>
  <si>
    <t>UK Export Control Order; national export-control regimes; FATF</t>
  </si>
  <si>
    <t>Head of Trade Finance / Legal</t>
  </si>
  <si>
    <t>Build export-control screening checklist into underwriting; periodic training; escalation path to Legal/Compliance.</t>
  </si>
  <si>
    <t>R-021</t>
  </si>
  <si>
    <t>Enterprise-wide / Governance</t>
  </si>
  <si>
    <t>Governance</t>
  </si>
  <si>
    <t>Fragmented cybersecurity governance across jurisdictions and business lines, with no unified RACI for cyber-risk ownership and escalation.</t>
  </si>
  <si>
    <t>Decentralized IT/security decision-making at subsidiary level; no group-wide cyber-risk committee.</t>
  </si>
  <si>
    <t>Country-level IT/security leads report locally</t>
  </si>
  <si>
    <t>NIST CSF 2.0 (GV); ISO/IEC 27001 Clause 5; PRA SMCR / FCA SYSC</t>
  </si>
  <si>
    <t>Group CISO / Board Risk Committee</t>
  </si>
  <si>
    <t>Establish group Cyber Risk &amp; GRC Committee; formalize enterprise RACI; align subsidiary security leads to group policy.</t>
  </si>
  <si>
    <t>R-022</t>
  </si>
  <si>
    <t>Inconsistent regulatory reporting cadence and content across FCA/PRA (UK) versus CBN/SARB/BOG (Africa) supervisory expectations.</t>
  </si>
  <si>
    <t>No harmonized regulatory reporting calendar or single source of truth for compliance obligations.</t>
  </si>
  <si>
    <t>Local compliance teams manage reporting independently</t>
  </si>
  <si>
    <t>FCA/PRA regulatory reporting; CBN/SARB/BOG prudential returns</t>
  </si>
  <si>
    <t>Group Head of Compliance</t>
  </si>
  <si>
    <t>Build a group regulatory-obligations register and reporting calendar; centralize compliance monitoring with local execution.</t>
  </si>
  <si>
    <t>R-023</t>
  </si>
  <si>
    <t>Certification / Standards</t>
  </si>
  <si>
    <t>Inconsistent ISO/IEC 27001 and PCI-DSS certification coverage across business units, leaving parts of the estate unaudited.</t>
  </si>
  <si>
    <t>Certification pursued opportunistically by business unit rather than as a group standard.</t>
  </si>
  <si>
    <t>UK entity ISO 27001 certified; other units uncertified</t>
  </si>
  <si>
    <t>ISO/IEC 27001; PCI-DSS</t>
  </si>
  <si>
    <t>Set group-wide certification roadmap and timeline; prioritize PCI-DSS for card-handling units and mobile money platform.</t>
  </si>
  <si>
    <t>R-024</t>
  </si>
  <si>
    <t>Resilience</t>
  </si>
  <si>
    <t>Incident response and business continuity plans not consistently tested across all service lines and jurisdictions.</t>
  </si>
  <si>
    <t>IR plan exists at group level but tabletop exercises limited to UK entity; no cross-border crisis-communication protocol.</t>
  </si>
  <si>
    <t>Group IR plan document; UK tabletop exercise completed</t>
  </si>
  <si>
    <t>NIST CSF 2.0 (RS/RC); ISO/IEC 22301; PRA operational resilience (SS1/21)</t>
  </si>
  <si>
    <t>Group CISO / COO</t>
  </si>
  <si>
    <t>Run annual group-wide IR tabletop covering banking, mobile money, and trade finance scenarios; cross-border crisis playbook.</t>
  </si>
  <si>
    <t>R-025</t>
  </si>
  <si>
    <t>Third-Party / Concentration</t>
  </si>
  <si>
    <t>Concentration risk from reliance on a small number of cloud/infrastructure providers across all service lines.</t>
  </si>
  <si>
    <t>No formal cloud-concentration risk assessment; limited multi-cloud/exit strategy.</t>
  </si>
  <si>
    <t>Cloud provider SLAs in place</t>
  </si>
  <si>
    <t>NIST CSF 2.0 (GV.SC); PRA/FCA operational resilience; FCA critical third-party rules</t>
  </si>
  <si>
    <t>CTO / CISO</t>
  </si>
  <si>
    <t>Assess concentration risk formally; document exit/portability strategy; monitor emerging UK critical third-party regime.</t>
  </si>
  <si>
    <t>R-026</t>
  </si>
  <si>
    <t>People / Skills</t>
  </si>
  <si>
    <t>Cybersecurity GRC skills gap and understaffing relative to the complexity of a multi-line, dual-jurisdiction risk profile.</t>
  </si>
  <si>
    <t>Small central GRC team supporting disproportionately broad scope; reliance on generalist IT staff at subsidiaries.</t>
  </si>
  <si>
    <t>Central GRC function of limited size</t>
  </si>
  <si>
    <t>NIST CSF 2.0 (GV.RR); ISO/IEC 27001 A.7</t>
  </si>
  <si>
    <t>Group CISO / CHRO</t>
  </si>
  <si>
    <t>Build GRC staffing plan tied to risk register priorities; upskill subsidiary IT staff; consider co-sourcing specialist capability.</t>
  </si>
  <si>
    <t>YXZ Cybersecurity GRC — Risk Heat Map &amp; Dashboard</t>
  </si>
  <si>
    <t>Inherent risk positions (Likelihood x Impact) drawn live from the Risk Register tab</t>
  </si>
  <si>
    <t>Impact</t>
  </si>
  <si>
    <t>(Grid cells show COUNT of risks; color = inherent rating band)</t>
  </si>
  <si>
    <t>Inherent Risk Rating</t>
  </si>
  <si>
    <t>Count</t>
  </si>
  <si>
    <t>Residual Risk Rating</t>
  </si>
  <si>
    <t>Open Risks</t>
  </si>
  <si>
    <t>Critical</t>
  </si>
  <si>
    <t>High</t>
  </si>
  <si>
    <t>Medium</t>
  </si>
  <si>
    <t>Low</t>
  </si>
  <si>
    <t>Legend, Scoring Methodology &amp; Regulatory Reference</t>
  </si>
  <si>
    <t>Likelihood / Impact Scale (1-5)</t>
  </si>
  <si>
    <t>Score</t>
  </si>
  <si>
    <t>Likelihood Definition</t>
  </si>
  <si>
    <t>Impact Definition</t>
  </si>
  <si>
    <t>Rare — not expected to occur (&lt;5% annually)</t>
  </si>
  <si>
    <t>Negligible — minimal operational/financial/reputational effect</t>
  </si>
  <si>
    <t>Unlikely — could occur infrequently</t>
  </si>
  <si>
    <t>Minor — limited, contained impact, no regulatory notice</t>
  </si>
  <si>
    <t>Possible — may occur within the year</t>
  </si>
  <si>
    <t>Moderate — noticeable disruption, possible regulatory query</t>
  </si>
  <si>
    <t>Likely — expected to occur within the year</t>
  </si>
  <si>
    <t>Major — significant financial loss, regulatory breach, media attention</t>
  </si>
  <si>
    <t>Almost certain — expected multiple times per year</t>
  </si>
  <si>
    <t>Severe — systemic disruption, license/charter risk, material fines</t>
  </si>
  <si>
    <t>Risk Rating Bands (Likelihood x Impact)</t>
  </si>
  <si>
    <t>Score Range</t>
  </si>
  <si>
    <t>Rating</t>
  </si>
  <si>
    <t>Escalation / Review Cadence</t>
  </si>
  <si>
    <t>16 - 25</t>
  </si>
  <si>
    <t>Board Risk Committee notification; monthly review until mitigated</t>
  </si>
  <si>
    <t>10 - 15</t>
  </si>
  <si>
    <t>Group CISO / Exec Risk Committee review; quarterly reporting</t>
  </si>
  <si>
    <t>5 - 9</t>
  </si>
  <si>
    <t>Business-unit risk owner review; semi-annual reporting</t>
  </si>
  <si>
    <t>1 - 4</t>
  </si>
  <si>
    <t>Monitored within business-as-usual controls; annual review</t>
  </si>
  <si>
    <t>Regulatory &amp; Standards Reference Key</t>
  </si>
  <si>
    <t>Abbreviation</t>
  </si>
  <si>
    <t>Full Name / Scope</t>
  </si>
  <si>
    <t>FCA</t>
  </si>
  <si>
    <t>UK Financial Conduct Authority — conduct regulation of UK financial/payment services</t>
  </si>
  <si>
    <t>PRA</t>
  </si>
  <si>
    <t>UK Prudential Regulation Authority — prudential regulation of banks</t>
  </si>
  <si>
    <t>CBN</t>
  </si>
  <si>
    <t>Central Bank of Nigeria</t>
  </si>
  <si>
    <t>SARB</t>
  </si>
  <si>
    <t>South African Reserve Bank</t>
  </si>
  <si>
    <t>BOG</t>
  </si>
  <si>
    <t>Bank of Ghana</t>
  </si>
  <si>
    <t>GIABA</t>
  </si>
  <si>
    <t>Inter-Governmental Action Group against Money Laundering in West Africa (FATF-style regional body)</t>
  </si>
  <si>
    <t>ESAAMLG</t>
  </si>
  <si>
    <t>Eastern and Southern Africa Anti-Money Laundering Group (FATF-style regional body)</t>
  </si>
  <si>
    <t>FATF</t>
  </si>
  <si>
    <t>Financial Action Task Force — global AML/CFT standard setter</t>
  </si>
  <si>
    <t>PSD2</t>
  </si>
  <si>
    <t>EU/UK Revised Payment Services Directive — Strong Customer Authentication requirements</t>
  </si>
  <si>
    <t>NIST CSF 2.0</t>
  </si>
  <si>
    <t>US National Institute of Standards and Technology Cybersecurity Framework v2.0</t>
  </si>
  <si>
    <t>ISO/IEC 27001</t>
  </si>
  <si>
    <t>International standard for information security management systems</t>
  </si>
  <si>
    <t>PCI-DSS</t>
  </si>
  <si>
    <t>Payment Card Industry Data Security Standard</t>
  </si>
  <si>
    <t>SWIFT CSP</t>
  </si>
  <si>
    <t>SWIFT Customer Security Programme — mandatory controls for SWIFT-connected institutions</t>
  </si>
  <si>
    <t>DPIA</t>
  </si>
  <si>
    <t>Data Protection Impact Assessment</t>
  </si>
  <si>
    <t>RACI</t>
  </si>
  <si>
    <t>Responsible, Accountable, Consulted, Informed — governance accountability model</t>
  </si>
  <si>
    <t>Prepared by JHS | Scope: Banking, Fintech &amp; Mobile Money, Project &amp; Shipping (Trade) Finance | Jurisdictions: UK &amp;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</si>
</sst>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87878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1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8">
    <dxf>
      <font>
        <b/>
        <sz val="10"/>
        <color rgb="FF000000"/>
        <name val="Arial"/>
        <charset val="1"/>
      </font>
      <fill>
        <patternFill>
          <bgColor rgb="FF70AD47"/>
        </patternFill>
      </fill>
    </dxf>
    <dxf>
      <font>
        <b/>
        <sz val="10"/>
        <color rgb="FF000000"/>
        <name val="Arial"/>
        <charset val="1"/>
      </font>
      <fill>
        <patternFill>
          <bgColor rgb="FFFFC000"/>
        </patternFill>
      </fill>
    </dxf>
    <dxf>
      <font>
        <b/>
        <sz val="10"/>
        <color rgb="FFFFFFFF"/>
        <name val="Arial"/>
        <charset val="1"/>
      </font>
      <fill>
        <patternFill>
          <bgColor rgb="FFED7D31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  <dxf>
      <font>
        <b/>
        <sz val="10"/>
        <color rgb="FF000000"/>
        <name val="Arial"/>
        <charset val="1"/>
      </font>
      <fill>
        <patternFill>
          <bgColor rgb="FF70AD47"/>
        </patternFill>
      </fill>
    </dxf>
    <dxf>
      <font>
        <b/>
        <sz val="10"/>
        <color rgb="FF000000"/>
        <name val="Arial"/>
        <charset val="1"/>
      </font>
      <fill>
        <patternFill>
          <bgColor rgb="FFFFC000"/>
        </patternFill>
      </fill>
    </dxf>
    <dxf>
      <font>
        <b/>
        <sz val="10"/>
        <color rgb="FFFFFFFF"/>
        <name val="Arial"/>
        <charset val="1"/>
      </font>
      <fill>
        <patternFill>
          <bgColor rgb="FFED7D31"/>
        </patternFill>
      </fill>
    </dxf>
    <dxf>
      <font>
        <b/>
        <sz val="10"/>
        <color rgb="FFFFFFFF"/>
        <name val="Arial"/>
        <charset val="1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Open Risks by Service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'Heat Map &amp; Dashboard'!$H$12</c:f>
              <c:strCache>
                <c:ptCount val="1"/>
                <c:pt idx="0">
                  <c:v>Open Risks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'Heat Map &amp; Dashboard'!$G$13:$G$16</c:f>
              <c:strCache>
                <c:ptCount val="4"/>
                <c:pt idx="0">
                  <c:v>General Banking</c:v>
                </c:pt>
                <c:pt idx="1">
                  <c:v>Fintech &amp; Mobile Money</c:v>
                </c:pt>
                <c:pt idx="2">
                  <c:v>Project &amp; Shipping (Trade) Finance</c:v>
                </c:pt>
                <c:pt idx="3">
                  <c:v>Enterprise-wide / Governance</c:v>
                </c:pt>
              </c:strCache>
            </c:strRef>
          </c:cat>
          <c:val>
            <c:numRef>
              <c:f>'Heat Map &amp; Dashboard'!$H$13:$H$16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6-469D-9FD4-C4452405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95458"/>
        <c:axId val="7495803"/>
      </c:barChart>
      <c:catAx>
        <c:axId val="338954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Service 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5803"/>
        <c:crosses val="autoZero"/>
        <c:auto val="1"/>
        <c:lblAlgn val="ctr"/>
        <c:lblOffset val="100"/>
        <c:noMultiLvlLbl val="0"/>
      </c:catAx>
      <c:valAx>
        <c:axId val="7495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Number of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95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48240</xdr:rowOff>
    </xdr:from>
    <xdr:to>
      <xdr:col>6</xdr:col>
      <xdr:colOff>1530720</xdr:colOff>
      <xdr:row>32</xdr:row>
      <xdr:rowOff>70560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Normal="100" workbookViewId="0">
      <selection activeCell="E6" sqref="E6"/>
    </sheetView>
  </sheetViews>
  <sheetFormatPr defaultColWidth="8.6328125" defaultRowHeight="14.5" x14ac:dyDescent="0.35"/>
  <cols>
    <col min="1" max="1" width="9" customWidth="1"/>
    <col min="2" max="2" width="20" customWidth="1"/>
    <col min="3" max="3" width="16" customWidth="1"/>
    <col min="4" max="4" width="18" customWidth="1"/>
    <col min="5" max="5" width="40" customWidth="1"/>
    <col min="6" max="6" width="34" customWidth="1"/>
    <col min="7" max="8" width="9" customWidth="1"/>
    <col min="9" max="9" width="10" customWidth="1"/>
    <col min="10" max="10" width="11" customWidth="1"/>
    <col min="11" max="11" width="30" customWidth="1"/>
    <col min="12" max="12" width="12" customWidth="1"/>
    <col min="13" max="15" width="10" customWidth="1"/>
    <col min="16" max="16" width="11" customWidth="1"/>
    <col min="17" max="17" width="26" customWidth="1"/>
    <col min="18" max="18" width="20" customWidth="1"/>
    <col min="19" max="19" width="38" customWidth="1"/>
    <col min="20" max="20" width="11" customWidth="1"/>
    <col min="21" max="21" width="12" customWidth="1"/>
  </cols>
  <sheetData>
    <row r="1" spans="1:21" ht="18" x14ac:dyDescent="0.4">
      <c r="A1" s="23" t="s">
        <v>0</v>
      </c>
      <c r="B1" s="23"/>
      <c r="C1" s="23"/>
      <c r="D1" s="23"/>
      <c r="E1" s="23"/>
      <c r="F1" s="23"/>
    </row>
    <row r="2" spans="1:21" x14ac:dyDescent="0.35">
      <c r="A2" s="24" t="s">
        <v>311</v>
      </c>
      <c r="B2" s="24"/>
      <c r="C2" s="24"/>
      <c r="D2" s="24"/>
      <c r="E2" s="24"/>
      <c r="F2" s="24"/>
    </row>
    <row r="4" spans="1:21" ht="52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</row>
    <row r="5" spans="1:21" ht="60" customHeight="1" x14ac:dyDescent="0.3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27</v>
      </c>
      <c r="G5" s="4">
        <v>4</v>
      </c>
      <c r="H5" s="4">
        <v>5</v>
      </c>
      <c r="I5" s="4">
        <f t="shared" ref="I5:I30" si="0">G5*H5</f>
        <v>20</v>
      </c>
      <c r="J5" s="2" t="str">
        <f t="shared" ref="J5:J30" si="1">IF(I5&gt;=16,"Critical",IF(I5&gt;=10,"High",IF(I5&gt;=5,"Medium","Low")))</f>
        <v>Critical</v>
      </c>
      <c r="K5" s="3" t="s">
        <v>28</v>
      </c>
      <c r="L5" s="4">
        <v>2</v>
      </c>
      <c r="M5" s="4">
        <v>3</v>
      </c>
      <c r="N5" s="4">
        <v>5</v>
      </c>
      <c r="O5" s="4">
        <f t="shared" ref="O5:O30" si="2">M5*N5</f>
        <v>15</v>
      </c>
      <c r="P5" s="2" t="str">
        <f t="shared" ref="P5:P30" si="3">IF(O5&gt;=16,"Critical",IF(O5&gt;=10,"High",IF(O5&gt;=5,"Medium","Low")))</f>
        <v>High</v>
      </c>
      <c r="Q5" s="2" t="s">
        <v>29</v>
      </c>
      <c r="R5" s="2" t="s">
        <v>30</v>
      </c>
      <c r="S5" s="3" t="s">
        <v>31</v>
      </c>
      <c r="T5" s="2" t="s">
        <v>32</v>
      </c>
      <c r="U5" s="2" t="s">
        <v>33</v>
      </c>
    </row>
    <row r="6" spans="1:21" ht="60" customHeight="1" x14ac:dyDescent="0.35">
      <c r="A6" s="2" t="s">
        <v>34</v>
      </c>
      <c r="B6" s="2" t="s">
        <v>23</v>
      </c>
      <c r="C6" s="2" t="s">
        <v>24</v>
      </c>
      <c r="D6" s="2" t="s">
        <v>35</v>
      </c>
      <c r="E6" s="3" t="s">
        <v>36</v>
      </c>
      <c r="F6" s="3" t="s">
        <v>37</v>
      </c>
      <c r="G6" s="4">
        <v>3</v>
      </c>
      <c r="H6" s="4">
        <v>5</v>
      </c>
      <c r="I6" s="4">
        <f t="shared" si="0"/>
        <v>15</v>
      </c>
      <c r="J6" s="2" t="str">
        <f t="shared" si="1"/>
        <v>High</v>
      </c>
      <c r="K6" s="3" t="s">
        <v>38</v>
      </c>
      <c r="L6" s="4">
        <v>2</v>
      </c>
      <c r="M6" s="4">
        <v>2</v>
      </c>
      <c r="N6" s="4">
        <v>5</v>
      </c>
      <c r="O6" s="4">
        <f t="shared" si="2"/>
        <v>10</v>
      </c>
      <c r="P6" s="2" t="str">
        <f t="shared" si="3"/>
        <v>High</v>
      </c>
      <c r="Q6" s="2" t="s">
        <v>39</v>
      </c>
      <c r="R6" s="2" t="s">
        <v>40</v>
      </c>
      <c r="S6" s="3" t="s">
        <v>41</v>
      </c>
      <c r="T6" s="2" t="s">
        <v>42</v>
      </c>
      <c r="U6" s="2" t="s">
        <v>33</v>
      </c>
    </row>
    <row r="7" spans="1:21" ht="60" customHeight="1" x14ac:dyDescent="0.35">
      <c r="A7" s="2" t="s">
        <v>43</v>
      </c>
      <c r="B7" s="2" t="s">
        <v>23</v>
      </c>
      <c r="C7" s="2" t="s">
        <v>44</v>
      </c>
      <c r="D7" s="2" t="s">
        <v>45</v>
      </c>
      <c r="E7" s="3" t="s">
        <v>46</v>
      </c>
      <c r="F7" s="3" t="s">
        <v>47</v>
      </c>
      <c r="G7" s="4">
        <v>4</v>
      </c>
      <c r="H7" s="4">
        <v>5</v>
      </c>
      <c r="I7" s="4">
        <f t="shared" si="0"/>
        <v>20</v>
      </c>
      <c r="J7" s="2" t="str">
        <f t="shared" si="1"/>
        <v>Critical</v>
      </c>
      <c r="K7" s="3" t="s">
        <v>48</v>
      </c>
      <c r="L7" s="4">
        <v>2</v>
      </c>
      <c r="M7" s="4">
        <v>3</v>
      </c>
      <c r="N7" s="4">
        <v>4</v>
      </c>
      <c r="O7" s="4">
        <f t="shared" si="2"/>
        <v>12</v>
      </c>
      <c r="P7" s="2" t="str">
        <f t="shared" si="3"/>
        <v>High</v>
      </c>
      <c r="Q7" s="2" t="s">
        <v>49</v>
      </c>
      <c r="R7" s="2" t="s">
        <v>50</v>
      </c>
      <c r="S7" s="3" t="s">
        <v>51</v>
      </c>
      <c r="T7" s="2" t="s">
        <v>52</v>
      </c>
      <c r="U7" s="2" t="s">
        <v>33</v>
      </c>
    </row>
    <row r="8" spans="1:21" ht="60" customHeight="1" x14ac:dyDescent="0.35">
      <c r="A8" s="2" t="s">
        <v>53</v>
      </c>
      <c r="B8" s="2" t="s">
        <v>23</v>
      </c>
      <c r="C8" s="2" t="s">
        <v>24</v>
      </c>
      <c r="D8" s="2" t="s">
        <v>54</v>
      </c>
      <c r="E8" s="3" t="s">
        <v>55</v>
      </c>
      <c r="F8" s="3" t="s">
        <v>56</v>
      </c>
      <c r="G8" s="4">
        <v>3</v>
      </c>
      <c r="H8" s="4">
        <v>5</v>
      </c>
      <c r="I8" s="4">
        <f t="shared" si="0"/>
        <v>15</v>
      </c>
      <c r="J8" s="2" t="str">
        <f t="shared" si="1"/>
        <v>High</v>
      </c>
      <c r="K8" s="3" t="s">
        <v>57</v>
      </c>
      <c r="L8" s="4">
        <v>3</v>
      </c>
      <c r="M8" s="4">
        <v>2</v>
      </c>
      <c r="N8" s="4">
        <v>4</v>
      </c>
      <c r="O8" s="4">
        <f t="shared" si="2"/>
        <v>8</v>
      </c>
      <c r="P8" s="2" t="str">
        <f t="shared" si="3"/>
        <v>Medium</v>
      </c>
      <c r="Q8" s="2" t="s">
        <v>58</v>
      </c>
      <c r="R8" s="2" t="s">
        <v>59</v>
      </c>
      <c r="S8" s="3" t="s">
        <v>60</v>
      </c>
      <c r="T8" s="2" t="s">
        <v>32</v>
      </c>
      <c r="U8" s="2" t="s">
        <v>33</v>
      </c>
    </row>
    <row r="9" spans="1:21" ht="60" customHeight="1" x14ac:dyDescent="0.35">
      <c r="A9" s="2" t="s">
        <v>61</v>
      </c>
      <c r="B9" s="2" t="s">
        <v>23</v>
      </c>
      <c r="C9" s="2" t="s">
        <v>24</v>
      </c>
      <c r="D9" s="2" t="s">
        <v>62</v>
      </c>
      <c r="E9" s="3" t="s">
        <v>63</v>
      </c>
      <c r="F9" s="3" t="s">
        <v>64</v>
      </c>
      <c r="G9" s="4">
        <v>4</v>
      </c>
      <c r="H9" s="4">
        <v>4</v>
      </c>
      <c r="I9" s="4">
        <f t="shared" si="0"/>
        <v>16</v>
      </c>
      <c r="J9" s="2" t="str">
        <f t="shared" si="1"/>
        <v>Critical</v>
      </c>
      <c r="K9" s="3" t="s">
        <v>65</v>
      </c>
      <c r="L9" s="4">
        <v>2</v>
      </c>
      <c r="M9" s="4">
        <v>3</v>
      </c>
      <c r="N9" s="4">
        <v>4</v>
      </c>
      <c r="O9" s="4">
        <f t="shared" si="2"/>
        <v>12</v>
      </c>
      <c r="P9" s="2" t="str">
        <f t="shared" si="3"/>
        <v>High</v>
      </c>
      <c r="Q9" s="2" t="s">
        <v>66</v>
      </c>
      <c r="R9" s="2" t="s">
        <v>67</v>
      </c>
      <c r="S9" s="3" t="s">
        <v>68</v>
      </c>
      <c r="T9" s="2" t="s">
        <v>52</v>
      </c>
      <c r="U9" s="2" t="s">
        <v>33</v>
      </c>
    </row>
    <row r="10" spans="1:21" ht="60" customHeight="1" x14ac:dyDescent="0.35">
      <c r="A10" s="2" t="s">
        <v>69</v>
      </c>
      <c r="B10" s="2" t="s">
        <v>23</v>
      </c>
      <c r="C10" s="2" t="s">
        <v>24</v>
      </c>
      <c r="D10" s="2" t="s">
        <v>70</v>
      </c>
      <c r="E10" s="3" t="s">
        <v>71</v>
      </c>
      <c r="F10" s="3" t="s">
        <v>72</v>
      </c>
      <c r="G10" s="4">
        <v>3</v>
      </c>
      <c r="H10" s="4">
        <v>5</v>
      </c>
      <c r="I10" s="4">
        <f t="shared" si="0"/>
        <v>15</v>
      </c>
      <c r="J10" s="2" t="str">
        <f t="shared" si="1"/>
        <v>High</v>
      </c>
      <c r="K10" s="3" t="s">
        <v>73</v>
      </c>
      <c r="L10" s="4">
        <v>3</v>
      </c>
      <c r="M10" s="4">
        <v>2</v>
      </c>
      <c r="N10" s="4">
        <v>4</v>
      </c>
      <c r="O10" s="4">
        <f t="shared" si="2"/>
        <v>8</v>
      </c>
      <c r="P10" s="2" t="str">
        <f t="shared" si="3"/>
        <v>Medium</v>
      </c>
      <c r="Q10" s="2" t="s">
        <v>74</v>
      </c>
      <c r="R10" s="2" t="s">
        <v>75</v>
      </c>
      <c r="S10" s="3" t="s">
        <v>76</v>
      </c>
      <c r="T10" s="2" t="s">
        <v>42</v>
      </c>
      <c r="U10" s="2" t="s">
        <v>33</v>
      </c>
    </row>
    <row r="11" spans="1:21" ht="60" customHeight="1" x14ac:dyDescent="0.35">
      <c r="A11" s="2" t="s">
        <v>77</v>
      </c>
      <c r="B11" s="2" t="s">
        <v>23</v>
      </c>
      <c r="C11" s="2" t="s">
        <v>24</v>
      </c>
      <c r="D11" s="2" t="s">
        <v>78</v>
      </c>
      <c r="E11" s="3" t="s">
        <v>79</v>
      </c>
      <c r="F11" s="3" t="s">
        <v>80</v>
      </c>
      <c r="G11" s="4">
        <v>3</v>
      </c>
      <c r="H11" s="4">
        <v>4</v>
      </c>
      <c r="I11" s="4">
        <f t="shared" si="0"/>
        <v>12</v>
      </c>
      <c r="J11" s="2" t="str">
        <f t="shared" si="1"/>
        <v>High</v>
      </c>
      <c r="K11" s="3" t="s">
        <v>81</v>
      </c>
      <c r="L11" s="4">
        <v>3</v>
      </c>
      <c r="M11" s="4">
        <v>2</v>
      </c>
      <c r="N11" s="4">
        <v>3</v>
      </c>
      <c r="O11" s="4">
        <f t="shared" si="2"/>
        <v>6</v>
      </c>
      <c r="P11" s="2" t="str">
        <f t="shared" si="3"/>
        <v>Medium</v>
      </c>
      <c r="Q11" s="2" t="s">
        <v>82</v>
      </c>
      <c r="R11" s="2" t="s">
        <v>83</v>
      </c>
      <c r="S11" s="3" t="s">
        <v>84</v>
      </c>
      <c r="T11" s="2" t="s">
        <v>32</v>
      </c>
      <c r="U11" s="2" t="s">
        <v>33</v>
      </c>
    </row>
    <row r="12" spans="1:21" ht="60" customHeight="1" x14ac:dyDescent="0.35">
      <c r="A12" s="2" t="s">
        <v>85</v>
      </c>
      <c r="B12" s="2" t="s">
        <v>23</v>
      </c>
      <c r="C12" s="2" t="s">
        <v>44</v>
      </c>
      <c r="D12" s="2" t="s">
        <v>86</v>
      </c>
      <c r="E12" s="3" t="s">
        <v>87</v>
      </c>
      <c r="F12" s="3" t="s">
        <v>88</v>
      </c>
      <c r="G12" s="4">
        <v>4</v>
      </c>
      <c r="H12" s="4">
        <v>5</v>
      </c>
      <c r="I12" s="4">
        <f t="shared" si="0"/>
        <v>20</v>
      </c>
      <c r="J12" s="2" t="str">
        <f t="shared" si="1"/>
        <v>Critical</v>
      </c>
      <c r="K12" s="3" t="s">
        <v>89</v>
      </c>
      <c r="L12" s="4">
        <v>3</v>
      </c>
      <c r="M12" s="4">
        <v>3</v>
      </c>
      <c r="N12" s="4">
        <v>4</v>
      </c>
      <c r="O12" s="4">
        <f t="shared" si="2"/>
        <v>12</v>
      </c>
      <c r="P12" s="2" t="str">
        <f t="shared" si="3"/>
        <v>High</v>
      </c>
      <c r="Q12" s="2" t="s">
        <v>90</v>
      </c>
      <c r="R12" s="2" t="s">
        <v>91</v>
      </c>
      <c r="S12" s="3" t="s">
        <v>92</v>
      </c>
      <c r="T12" s="2" t="s">
        <v>93</v>
      </c>
      <c r="U12" s="2" t="s">
        <v>94</v>
      </c>
    </row>
    <row r="13" spans="1:21" ht="60" customHeight="1" x14ac:dyDescent="0.35">
      <c r="A13" s="2" t="s">
        <v>95</v>
      </c>
      <c r="B13" s="2" t="s">
        <v>96</v>
      </c>
      <c r="C13" s="2" t="s">
        <v>44</v>
      </c>
      <c r="D13" s="2" t="s">
        <v>97</v>
      </c>
      <c r="E13" s="3" t="s">
        <v>98</v>
      </c>
      <c r="F13" s="3" t="s">
        <v>99</v>
      </c>
      <c r="G13" s="4">
        <v>5</v>
      </c>
      <c r="H13" s="4">
        <v>4</v>
      </c>
      <c r="I13" s="4">
        <f t="shared" si="0"/>
        <v>20</v>
      </c>
      <c r="J13" s="2" t="str">
        <f t="shared" si="1"/>
        <v>Critical</v>
      </c>
      <c r="K13" s="3" t="s">
        <v>100</v>
      </c>
      <c r="L13" s="4">
        <v>2</v>
      </c>
      <c r="M13" s="4">
        <v>3</v>
      </c>
      <c r="N13" s="4">
        <v>4</v>
      </c>
      <c r="O13" s="4">
        <f t="shared" si="2"/>
        <v>12</v>
      </c>
      <c r="P13" s="2" t="str">
        <f t="shared" si="3"/>
        <v>High</v>
      </c>
      <c r="Q13" s="2" t="s">
        <v>101</v>
      </c>
      <c r="R13" s="2" t="s">
        <v>102</v>
      </c>
      <c r="S13" s="3" t="s">
        <v>103</v>
      </c>
      <c r="T13" s="2" t="s">
        <v>42</v>
      </c>
      <c r="U13" s="2" t="s">
        <v>33</v>
      </c>
    </row>
    <row r="14" spans="1:21" ht="60" customHeight="1" x14ac:dyDescent="0.35">
      <c r="A14" s="2" t="s">
        <v>104</v>
      </c>
      <c r="B14" s="2" t="s">
        <v>96</v>
      </c>
      <c r="C14" s="2" t="s">
        <v>44</v>
      </c>
      <c r="D14" s="2" t="s">
        <v>35</v>
      </c>
      <c r="E14" s="3" t="s">
        <v>105</v>
      </c>
      <c r="F14" s="3" t="s">
        <v>106</v>
      </c>
      <c r="G14" s="4">
        <v>4</v>
      </c>
      <c r="H14" s="4">
        <v>4</v>
      </c>
      <c r="I14" s="4">
        <f t="shared" si="0"/>
        <v>16</v>
      </c>
      <c r="J14" s="2" t="str">
        <f t="shared" si="1"/>
        <v>Critical</v>
      </c>
      <c r="K14" s="3" t="s">
        <v>107</v>
      </c>
      <c r="L14" s="4">
        <v>3</v>
      </c>
      <c r="M14" s="4">
        <v>3</v>
      </c>
      <c r="N14" s="4">
        <v>3</v>
      </c>
      <c r="O14" s="4">
        <f t="shared" si="2"/>
        <v>9</v>
      </c>
      <c r="P14" s="2" t="str">
        <f t="shared" si="3"/>
        <v>Medium</v>
      </c>
      <c r="Q14" s="2" t="s">
        <v>108</v>
      </c>
      <c r="R14" s="2" t="s">
        <v>109</v>
      </c>
      <c r="S14" s="3" t="s">
        <v>110</v>
      </c>
      <c r="T14" s="2" t="s">
        <v>52</v>
      </c>
      <c r="U14" s="2" t="s">
        <v>33</v>
      </c>
    </row>
    <row r="15" spans="1:21" ht="60" customHeight="1" x14ac:dyDescent="0.35">
      <c r="A15" s="2" t="s">
        <v>111</v>
      </c>
      <c r="B15" s="2" t="s">
        <v>96</v>
      </c>
      <c r="C15" s="2" t="s">
        <v>112</v>
      </c>
      <c r="D15" s="2" t="s">
        <v>113</v>
      </c>
      <c r="E15" s="3" t="s">
        <v>114</v>
      </c>
      <c r="F15" s="3" t="s">
        <v>115</v>
      </c>
      <c r="G15" s="4">
        <v>4</v>
      </c>
      <c r="H15" s="4">
        <v>4</v>
      </c>
      <c r="I15" s="4">
        <f t="shared" si="0"/>
        <v>16</v>
      </c>
      <c r="J15" s="2" t="str">
        <f t="shared" si="1"/>
        <v>Critical</v>
      </c>
      <c r="K15" s="3" t="s">
        <v>116</v>
      </c>
      <c r="L15" s="4">
        <v>2</v>
      </c>
      <c r="M15" s="4">
        <v>3</v>
      </c>
      <c r="N15" s="4">
        <v>4</v>
      </c>
      <c r="O15" s="4">
        <f t="shared" si="2"/>
        <v>12</v>
      </c>
      <c r="P15" s="2" t="str">
        <f t="shared" si="3"/>
        <v>High</v>
      </c>
      <c r="Q15" s="2" t="s">
        <v>117</v>
      </c>
      <c r="R15" s="2" t="s">
        <v>118</v>
      </c>
      <c r="S15" s="3" t="s">
        <v>119</v>
      </c>
      <c r="T15" s="2" t="s">
        <v>32</v>
      </c>
      <c r="U15" s="2" t="s">
        <v>33</v>
      </c>
    </row>
    <row r="16" spans="1:21" ht="60" customHeight="1" x14ac:dyDescent="0.35">
      <c r="A16" s="2" t="s">
        <v>120</v>
      </c>
      <c r="B16" s="2" t="s">
        <v>96</v>
      </c>
      <c r="C16" s="2" t="s">
        <v>44</v>
      </c>
      <c r="D16" s="2" t="s">
        <v>121</v>
      </c>
      <c r="E16" s="3" t="s">
        <v>122</v>
      </c>
      <c r="F16" s="3" t="s">
        <v>123</v>
      </c>
      <c r="G16" s="4">
        <v>4</v>
      </c>
      <c r="H16" s="4">
        <v>4</v>
      </c>
      <c r="I16" s="4">
        <f t="shared" si="0"/>
        <v>16</v>
      </c>
      <c r="J16" s="2" t="str">
        <f t="shared" si="1"/>
        <v>Critical</v>
      </c>
      <c r="K16" s="3" t="s">
        <v>124</v>
      </c>
      <c r="L16" s="4">
        <v>3</v>
      </c>
      <c r="M16" s="4">
        <v>3</v>
      </c>
      <c r="N16" s="4">
        <v>3</v>
      </c>
      <c r="O16" s="4">
        <f t="shared" si="2"/>
        <v>9</v>
      </c>
      <c r="P16" s="2" t="str">
        <f t="shared" si="3"/>
        <v>Medium</v>
      </c>
      <c r="Q16" s="2" t="s">
        <v>125</v>
      </c>
      <c r="R16" s="2" t="s">
        <v>126</v>
      </c>
      <c r="S16" s="3" t="s">
        <v>127</v>
      </c>
      <c r="T16" s="2" t="s">
        <v>93</v>
      </c>
      <c r="U16" s="2" t="s">
        <v>94</v>
      </c>
    </row>
    <row r="17" spans="1:21" ht="60" customHeight="1" x14ac:dyDescent="0.35">
      <c r="A17" s="2" t="s">
        <v>128</v>
      </c>
      <c r="B17" s="2" t="s">
        <v>96</v>
      </c>
      <c r="C17" s="2" t="s">
        <v>44</v>
      </c>
      <c r="D17" s="2" t="s">
        <v>129</v>
      </c>
      <c r="E17" s="3" t="s">
        <v>130</v>
      </c>
      <c r="F17" s="3" t="s">
        <v>131</v>
      </c>
      <c r="G17" s="4">
        <v>3</v>
      </c>
      <c r="H17" s="4">
        <v>4</v>
      </c>
      <c r="I17" s="4">
        <f t="shared" si="0"/>
        <v>12</v>
      </c>
      <c r="J17" s="2" t="str">
        <f t="shared" si="1"/>
        <v>High</v>
      </c>
      <c r="K17" s="3" t="s">
        <v>132</v>
      </c>
      <c r="L17" s="4">
        <v>3</v>
      </c>
      <c r="M17" s="4">
        <v>2</v>
      </c>
      <c r="N17" s="4">
        <v>3</v>
      </c>
      <c r="O17" s="4">
        <f t="shared" si="2"/>
        <v>6</v>
      </c>
      <c r="P17" s="2" t="str">
        <f t="shared" si="3"/>
        <v>Medium</v>
      </c>
      <c r="Q17" s="2" t="s">
        <v>133</v>
      </c>
      <c r="R17" s="2" t="s">
        <v>134</v>
      </c>
      <c r="S17" s="3" t="s">
        <v>135</v>
      </c>
      <c r="T17" s="2" t="s">
        <v>42</v>
      </c>
      <c r="U17" s="2" t="s">
        <v>33</v>
      </c>
    </row>
    <row r="18" spans="1:21" ht="60" customHeight="1" x14ac:dyDescent="0.35">
      <c r="A18" s="2" t="s">
        <v>136</v>
      </c>
      <c r="B18" s="2" t="s">
        <v>96</v>
      </c>
      <c r="C18" s="2" t="s">
        <v>137</v>
      </c>
      <c r="D18" s="2" t="s">
        <v>138</v>
      </c>
      <c r="E18" s="3" t="s">
        <v>139</v>
      </c>
      <c r="F18" s="3" t="s">
        <v>140</v>
      </c>
      <c r="G18" s="4">
        <v>3</v>
      </c>
      <c r="H18" s="4">
        <v>3</v>
      </c>
      <c r="I18" s="4">
        <f t="shared" si="0"/>
        <v>9</v>
      </c>
      <c r="J18" s="2" t="str">
        <f t="shared" si="1"/>
        <v>Medium</v>
      </c>
      <c r="K18" s="3" t="s">
        <v>141</v>
      </c>
      <c r="L18" s="4">
        <v>3</v>
      </c>
      <c r="M18" s="4">
        <v>2</v>
      </c>
      <c r="N18" s="4">
        <v>2</v>
      </c>
      <c r="O18" s="4">
        <f t="shared" si="2"/>
        <v>4</v>
      </c>
      <c r="P18" s="2" t="str">
        <f t="shared" si="3"/>
        <v>Low</v>
      </c>
      <c r="Q18" s="2" t="s">
        <v>142</v>
      </c>
      <c r="R18" s="2" t="s">
        <v>143</v>
      </c>
      <c r="S18" s="3" t="s">
        <v>144</v>
      </c>
      <c r="T18" s="2" t="s">
        <v>32</v>
      </c>
      <c r="U18" s="2" t="s">
        <v>33</v>
      </c>
    </row>
    <row r="19" spans="1:21" ht="60" customHeight="1" x14ac:dyDescent="0.35">
      <c r="A19" s="2" t="s">
        <v>145</v>
      </c>
      <c r="B19" s="2" t="s">
        <v>96</v>
      </c>
      <c r="C19" s="2" t="s">
        <v>44</v>
      </c>
      <c r="D19" s="2" t="s">
        <v>146</v>
      </c>
      <c r="E19" s="3" t="s">
        <v>147</v>
      </c>
      <c r="F19" s="3" t="s">
        <v>148</v>
      </c>
      <c r="G19" s="4">
        <v>3</v>
      </c>
      <c r="H19" s="4">
        <v>4</v>
      </c>
      <c r="I19" s="4">
        <f t="shared" si="0"/>
        <v>12</v>
      </c>
      <c r="J19" s="2" t="str">
        <f t="shared" si="1"/>
        <v>High</v>
      </c>
      <c r="K19" s="3" t="s">
        <v>149</v>
      </c>
      <c r="L19" s="4">
        <v>3</v>
      </c>
      <c r="M19" s="4">
        <v>3</v>
      </c>
      <c r="N19" s="4">
        <v>3</v>
      </c>
      <c r="O19" s="4">
        <f t="shared" si="2"/>
        <v>9</v>
      </c>
      <c r="P19" s="2" t="str">
        <f t="shared" si="3"/>
        <v>Medium</v>
      </c>
      <c r="Q19" s="2" t="s">
        <v>150</v>
      </c>
      <c r="R19" s="2" t="s">
        <v>151</v>
      </c>
      <c r="S19" s="3" t="s">
        <v>152</v>
      </c>
      <c r="T19" s="2" t="s">
        <v>52</v>
      </c>
      <c r="U19" s="2" t="s">
        <v>33</v>
      </c>
    </row>
    <row r="20" spans="1:21" ht="60" customHeight="1" x14ac:dyDescent="0.35">
      <c r="A20" s="2" t="s">
        <v>153</v>
      </c>
      <c r="B20" s="2" t="s">
        <v>154</v>
      </c>
      <c r="C20" s="2" t="s">
        <v>112</v>
      </c>
      <c r="D20" s="2" t="s">
        <v>97</v>
      </c>
      <c r="E20" s="3" t="s">
        <v>155</v>
      </c>
      <c r="F20" s="3" t="s">
        <v>156</v>
      </c>
      <c r="G20" s="4">
        <v>3</v>
      </c>
      <c r="H20" s="4">
        <v>5</v>
      </c>
      <c r="I20" s="4">
        <f t="shared" si="0"/>
        <v>15</v>
      </c>
      <c r="J20" s="2" t="str">
        <f t="shared" si="1"/>
        <v>High</v>
      </c>
      <c r="K20" s="3" t="s">
        <v>157</v>
      </c>
      <c r="L20" s="4">
        <v>3</v>
      </c>
      <c r="M20" s="4">
        <v>3</v>
      </c>
      <c r="N20" s="4">
        <v>3</v>
      </c>
      <c r="O20" s="4">
        <f t="shared" si="2"/>
        <v>9</v>
      </c>
      <c r="P20" s="2" t="str">
        <f t="shared" si="3"/>
        <v>Medium</v>
      </c>
      <c r="Q20" s="2" t="s">
        <v>158</v>
      </c>
      <c r="R20" s="2" t="s">
        <v>159</v>
      </c>
      <c r="S20" s="3" t="s">
        <v>160</v>
      </c>
      <c r="T20" s="2" t="s">
        <v>93</v>
      </c>
      <c r="U20" s="2" t="s">
        <v>33</v>
      </c>
    </row>
    <row r="21" spans="1:21" ht="60" customHeight="1" x14ac:dyDescent="0.35">
      <c r="A21" s="2" t="s">
        <v>161</v>
      </c>
      <c r="B21" s="2" t="s">
        <v>154</v>
      </c>
      <c r="C21" s="2" t="s">
        <v>112</v>
      </c>
      <c r="D21" s="2" t="s">
        <v>97</v>
      </c>
      <c r="E21" s="3" t="s">
        <v>162</v>
      </c>
      <c r="F21" s="3" t="s">
        <v>163</v>
      </c>
      <c r="G21" s="4">
        <v>4</v>
      </c>
      <c r="H21" s="4">
        <v>5</v>
      </c>
      <c r="I21" s="4">
        <f t="shared" si="0"/>
        <v>20</v>
      </c>
      <c r="J21" s="2" t="str">
        <f t="shared" si="1"/>
        <v>Critical</v>
      </c>
      <c r="K21" s="3" t="s">
        <v>164</v>
      </c>
      <c r="L21" s="4">
        <v>3</v>
      </c>
      <c r="M21" s="4">
        <v>3</v>
      </c>
      <c r="N21" s="4">
        <v>4</v>
      </c>
      <c r="O21" s="4">
        <f t="shared" si="2"/>
        <v>12</v>
      </c>
      <c r="P21" s="2" t="str">
        <f t="shared" si="3"/>
        <v>High</v>
      </c>
      <c r="Q21" s="2" t="s">
        <v>165</v>
      </c>
      <c r="R21" s="2" t="s">
        <v>166</v>
      </c>
      <c r="S21" s="3" t="s">
        <v>167</v>
      </c>
      <c r="T21" s="2" t="s">
        <v>52</v>
      </c>
      <c r="U21" s="2" t="s">
        <v>33</v>
      </c>
    </row>
    <row r="22" spans="1:21" ht="60" customHeight="1" x14ac:dyDescent="0.35">
      <c r="A22" s="2" t="s">
        <v>168</v>
      </c>
      <c r="B22" s="2" t="s">
        <v>154</v>
      </c>
      <c r="C22" s="2" t="s">
        <v>112</v>
      </c>
      <c r="D22" s="2" t="s">
        <v>169</v>
      </c>
      <c r="E22" s="3" t="s">
        <v>170</v>
      </c>
      <c r="F22" s="3" t="s">
        <v>171</v>
      </c>
      <c r="G22" s="4">
        <v>3</v>
      </c>
      <c r="H22" s="4">
        <v>5</v>
      </c>
      <c r="I22" s="4">
        <f t="shared" si="0"/>
        <v>15</v>
      </c>
      <c r="J22" s="2" t="str">
        <f t="shared" si="1"/>
        <v>High</v>
      </c>
      <c r="K22" s="3" t="s">
        <v>172</v>
      </c>
      <c r="L22" s="4">
        <v>3</v>
      </c>
      <c r="M22" s="4">
        <v>3</v>
      </c>
      <c r="N22" s="4">
        <v>3</v>
      </c>
      <c r="O22" s="4">
        <f t="shared" si="2"/>
        <v>9</v>
      </c>
      <c r="P22" s="2" t="str">
        <f t="shared" si="3"/>
        <v>Medium</v>
      </c>
      <c r="Q22" s="2" t="s">
        <v>173</v>
      </c>
      <c r="R22" s="2" t="s">
        <v>174</v>
      </c>
      <c r="S22" s="3" t="s">
        <v>175</v>
      </c>
      <c r="T22" s="2" t="s">
        <v>32</v>
      </c>
      <c r="U22" s="2" t="s">
        <v>33</v>
      </c>
    </row>
    <row r="23" spans="1:21" ht="60" customHeight="1" x14ac:dyDescent="0.35">
      <c r="A23" s="2" t="s">
        <v>176</v>
      </c>
      <c r="B23" s="2" t="s">
        <v>154</v>
      </c>
      <c r="C23" s="2" t="s">
        <v>112</v>
      </c>
      <c r="D23" s="2" t="s">
        <v>177</v>
      </c>
      <c r="E23" s="3" t="s">
        <v>178</v>
      </c>
      <c r="F23" s="3" t="s">
        <v>179</v>
      </c>
      <c r="G23" s="4">
        <v>3</v>
      </c>
      <c r="H23" s="4">
        <v>4</v>
      </c>
      <c r="I23" s="4">
        <f t="shared" si="0"/>
        <v>12</v>
      </c>
      <c r="J23" s="2" t="str">
        <f t="shared" si="1"/>
        <v>High</v>
      </c>
      <c r="K23" s="3" t="s">
        <v>180</v>
      </c>
      <c r="L23" s="4">
        <v>3</v>
      </c>
      <c r="M23" s="4">
        <v>3</v>
      </c>
      <c r="N23" s="4">
        <v>3</v>
      </c>
      <c r="O23" s="4">
        <f t="shared" si="2"/>
        <v>9</v>
      </c>
      <c r="P23" s="2" t="str">
        <f t="shared" si="3"/>
        <v>Medium</v>
      </c>
      <c r="Q23" s="2" t="s">
        <v>181</v>
      </c>
      <c r="R23" s="2" t="s">
        <v>182</v>
      </c>
      <c r="S23" s="3" t="s">
        <v>183</v>
      </c>
      <c r="T23" s="2" t="s">
        <v>184</v>
      </c>
      <c r="U23" s="2" t="s">
        <v>33</v>
      </c>
    </row>
    <row r="24" spans="1:21" ht="60" customHeight="1" x14ac:dyDescent="0.35">
      <c r="A24" s="2" t="s">
        <v>185</v>
      </c>
      <c r="B24" s="2" t="s">
        <v>154</v>
      </c>
      <c r="C24" s="2" t="s">
        <v>112</v>
      </c>
      <c r="D24" s="2" t="s">
        <v>138</v>
      </c>
      <c r="E24" s="3" t="s">
        <v>186</v>
      </c>
      <c r="F24" s="3" t="s">
        <v>187</v>
      </c>
      <c r="G24" s="4">
        <v>2</v>
      </c>
      <c r="H24" s="4">
        <v>4</v>
      </c>
      <c r="I24" s="4">
        <f t="shared" si="0"/>
        <v>8</v>
      </c>
      <c r="J24" s="2" t="str">
        <f t="shared" si="1"/>
        <v>Medium</v>
      </c>
      <c r="K24" s="3" t="s">
        <v>188</v>
      </c>
      <c r="L24" s="4">
        <v>3</v>
      </c>
      <c r="M24" s="4">
        <v>2</v>
      </c>
      <c r="N24" s="4">
        <v>2</v>
      </c>
      <c r="O24" s="4">
        <f t="shared" si="2"/>
        <v>4</v>
      </c>
      <c r="P24" s="2" t="str">
        <f t="shared" si="3"/>
        <v>Low</v>
      </c>
      <c r="Q24" s="2" t="s">
        <v>189</v>
      </c>
      <c r="R24" s="2" t="s">
        <v>190</v>
      </c>
      <c r="S24" s="3" t="s">
        <v>191</v>
      </c>
      <c r="T24" s="2" t="s">
        <v>184</v>
      </c>
      <c r="U24" s="2" t="s">
        <v>33</v>
      </c>
    </row>
    <row r="25" spans="1:21" ht="60" customHeight="1" x14ac:dyDescent="0.35">
      <c r="A25" s="2" t="s">
        <v>192</v>
      </c>
      <c r="B25" s="2" t="s">
        <v>193</v>
      </c>
      <c r="C25" s="2" t="s">
        <v>24</v>
      </c>
      <c r="D25" s="2" t="s">
        <v>194</v>
      </c>
      <c r="E25" s="3" t="s">
        <v>195</v>
      </c>
      <c r="F25" s="3" t="s">
        <v>196</v>
      </c>
      <c r="G25" s="4">
        <v>4</v>
      </c>
      <c r="H25" s="4">
        <v>4</v>
      </c>
      <c r="I25" s="4">
        <f t="shared" si="0"/>
        <v>16</v>
      </c>
      <c r="J25" s="2" t="str">
        <f t="shared" si="1"/>
        <v>Critical</v>
      </c>
      <c r="K25" s="3" t="s">
        <v>197</v>
      </c>
      <c r="L25" s="4">
        <v>3</v>
      </c>
      <c r="M25" s="4">
        <v>3</v>
      </c>
      <c r="N25" s="4">
        <v>3</v>
      </c>
      <c r="O25" s="4">
        <f t="shared" si="2"/>
        <v>9</v>
      </c>
      <c r="P25" s="2" t="str">
        <f t="shared" si="3"/>
        <v>Medium</v>
      </c>
      <c r="Q25" s="2" t="s">
        <v>198</v>
      </c>
      <c r="R25" s="2" t="s">
        <v>199</v>
      </c>
      <c r="S25" s="3" t="s">
        <v>200</v>
      </c>
      <c r="T25" s="2" t="s">
        <v>42</v>
      </c>
      <c r="U25" s="2" t="s">
        <v>94</v>
      </c>
    </row>
    <row r="26" spans="1:21" ht="60" customHeight="1" x14ac:dyDescent="0.35">
      <c r="A26" s="2" t="s">
        <v>201</v>
      </c>
      <c r="B26" s="2" t="s">
        <v>193</v>
      </c>
      <c r="C26" s="2" t="s">
        <v>24</v>
      </c>
      <c r="D26" s="2" t="s">
        <v>138</v>
      </c>
      <c r="E26" s="3" t="s">
        <v>202</v>
      </c>
      <c r="F26" s="3" t="s">
        <v>203</v>
      </c>
      <c r="G26" s="4">
        <v>3</v>
      </c>
      <c r="H26" s="4">
        <v>4</v>
      </c>
      <c r="I26" s="4">
        <f t="shared" si="0"/>
        <v>12</v>
      </c>
      <c r="J26" s="2" t="str">
        <f t="shared" si="1"/>
        <v>High</v>
      </c>
      <c r="K26" s="3" t="s">
        <v>204</v>
      </c>
      <c r="L26" s="4">
        <v>3</v>
      </c>
      <c r="M26" s="4">
        <v>3</v>
      </c>
      <c r="N26" s="4">
        <v>3</v>
      </c>
      <c r="O26" s="4">
        <f t="shared" si="2"/>
        <v>9</v>
      </c>
      <c r="P26" s="2" t="str">
        <f t="shared" si="3"/>
        <v>Medium</v>
      </c>
      <c r="Q26" s="2" t="s">
        <v>205</v>
      </c>
      <c r="R26" s="2" t="s">
        <v>206</v>
      </c>
      <c r="S26" s="3" t="s">
        <v>207</v>
      </c>
      <c r="T26" s="2" t="s">
        <v>32</v>
      </c>
      <c r="U26" s="2" t="s">
        <v>33</v>
      </c>
    </row>
    <row r="27" spans="1:21" ht="60" customHeight="1" x14ac:dyDescent="0.35">
      <c r="A27" s="2" t="s">
        <v>208</v>
      </c>
      <c r="B27" s="2" t="s">
        <v>193</v>
      </c>
      <c r="C27" s="2" t="s">
        <v>24</v>
      </c>
      <c r="D27" s="2" t="s">
        <v>209</v>
      </c>
      <c r="E27" s="3" t="s">
        <v>210</v>
      </c>
      <c r="F27" s="3" t="s">
        <v>211</v>
      </c>
      <c r="G27" s="4">
        <v>3</v>
      </c>
      <c r="H27" s="4">
        <v>3</v>
      </c>
      <c r="I27" s="4">
        <f t="shared" si="0"/>
        <v>9</v>
      </c>
      <c r="J27" s="2" t="str">
        <f t="shared" si="1"/>
        <v>Medium</v>
      </c>
      <c r="K27" s="3" t="s">
        <v>212</v>
      </c>
      <c r="L27" s="4">
        <v>3</v>
      </c>
      <c r="M27" s="4">
        <v>2</v>
      </c>
      <c r="N27" s="4">
        <v>2</v>
      </c>
      <c r="O27" s="4">
        <f t="shared" si="2"/>
        <v>4</v>
      </c>
      <c r="P27" s="2" t="str">
        <f t="shared" si="3"/>
        <v>Low</v>
      </c>
      <c r="Q27" s="2" t="s">
        <v>213</v>
      </c>
      <c r="R27" s="2" t="s">
        <v>59</v>
      </c>
      <c r="S27" s="3" t="s">
        <v>214</v>
      </c>
      <c r="T27" s="2" t="s">
        <v>52</v>
      </c>
      <c r="U27" s="2" t="s">
        <v>33</v>
      </c>
    </row>
    <row r="28" spans="1:21" ht="60" customHeight="1" x14ac:dyDescent="0.35">
      <c r="A28" s="2" t="s">
        <v>215</v>
      </c>
      <c r="B28" s="2" t="s">
        <v>193</v>
      </c>
      <c r="C28" s="2" t="s">
        <v>24</v>
      </c>
      <c r="D28" s="2" t="s">
        <v>216</v>
      </c>
      <c r="E28" s="3" t="s">
        <v>217</v>
      </c>
      <c r="F28" s="3" t="s">
        <v>218</v>
      </c>
      <c r="G28" s="4">
        <v>3</v>
      </c>
      <c r="H28" s="4">
        <v>4</v>
      </c>
      <c r="I28" s="4">
        <f t="shared" si="0"/>
        <v>12</v>
      </c>
      <c r="J28" s="2" t="str">
        <f t="shared" si="1"/>
        <v>High</v>
      </c>
      <c r="K28" s="3" t="s">
        <v>219</v>
      </c>
      <c r="L28" s="4">
        <v>3</v>
      </c>
      <c r="M28" s="4">
        <v>3</v>
      </c>
      <c r="N28" s="4">
        <v>3</v>
      </c>
      <c r="O28" s="4">
        <f t="shared" si="2"/>
        <v>9</v>
      </c>
      <c r="P28" s="2" t="str">
        <f t="shared" si="3"/>
        <v>Medium</v>
      </c>
      <c r="Q28" s="2" t="s">
        <v>220</v>
      </c>
      <c r="R28" s="2" t="s">
        <v>221</v>
      </c>
      <c r="S28" s="3" t="s">
        <v>222</v>
      </c>
      <c r="T28" s="2" t="s">
        <v>42</v>
      </c>
      <c r="U28" s="2" t="s">
        <v>33</v>
      </c>
    </row>
    <row r="29" spans="1:21" ht="60" customHeight="1" x14ac:dyDescent="0.35">
      <c r="A29" s="2" t="s">
        <v>223</v>
      </c>
      <c r="B29" s="2" t="s">
        <v>193</v>
      </c>
      <c r="C29" s="2" t="s">
        <v>24</v>
      </c>
      <c r="D29" s="2" t="s">
        <v>224</v>
      </c>
      <c r="E29" s="3" t="s">
        <v>225</v>
      </c>
      <c r="F29" s="3" t="s">
        <v>226</v>
      </c>
      <c r="G29" s="4">
        <v>2</v>
      </c>
      <c r="H29" s="4">
        <v>4</v>
      </c>
      <c r="I29" s="4">
        <f t="shared" si="0"/>
        <v>8</v>
      </c>
      <c r="J29" s="2" t="str">
        <f t="shared" si="1"/>
        <v>Medium</v>
      </c>
      <c r="K29" s="3" t="s">
        <v>227</v>
      </c>
      <c r="L29" s="4">
        <v>3</v>
      </c>
      <c r="M29" s="4">
        <v>2</v>
      </c>
      <c r="N29" s="4">
        <v>2</v>
      </c>
      <c r="O29" s="4">
        <f t="shared" si="2"/>
        <v>4</v>
      </c>
      <c r="P29" s="2" t="str">
        <f t="shared" si="3"/>
        <v>Low</v>
      </c>
      <c r="Q29" s="2" t="s">
        <v>228</v>
      </c>
      <c r="R29" s="2" t="s">
        <v>229</v>
      </c>
      <c r="S29" s="3" t="s">
        <v>230</v>
      </c>
      <c r="T29" s="2" t="s">
        <v>52</v>
      </c>
      <c r="U29" s="2" t="s">
        <v>33</v>
      </c>
    </row>
    <row r="30" spans="1:21" ht="60" customHeight="1" x14ac:dyDescent="0.35">
      <c r="A30" s="2" t="s">
        <v>231</v>
      </c>
      <c r="B30" s="2" t="s">
        <v>193</v>
      </c>
      <c r="C30" s="2" t="s">
        <v>24</v>
      </c>
      <c r="D30" s="2" t="s">
        <v>232</v>
      </c>
      <c r="E30" s="3" t="s">
        <v>233</v>
      </c>
      <c r="F30" s="3" t="s">
        <v>234</v>
      </c>
      <c r="G30" s="4">
        <v>4</v>
      </c>
      <c r="H30" s="4">
        <v>3</v>
      </c>
      <c r="I30" s="4">
        <f t="shared" si="0"/>
        <v>12</v>
      </c>
      <c r="J30" s="2" t="str">
        <f t="shared" si="1"/>
        <v>High</v>
      </c>
      <c r="K30" s="3" t="s">
        <v>235</v>
      </c>
      <c r="L30" s="4">
        <v>3</v>
      </c>
      <c r="M30" s="4">
        <v>3</v>
      </c>
      <c r="N30" s="4">
        <v>3</v>
      </c>
      <c r="O30" s="4">
        <f t="shared" si="2"/>
        <v>9</v>
      </c>
      <c r="P30" s="2" t="str">
        <f t="shared" si="3"/>
        <v>Medium</v>
      </c>
      <c r="Q30" s="2" t="s">
        <v>236</v>
      </c>
      <c r="R30" s="2" t="s">
        <v>237</v>
      </c>
      <c r="S30" s="3" t="s">
        <v>238</v>
      </c>
      <c r="T30" s="2" t="s">
        <v>93</v>
      </c>
      <c r="U30" s="2" t="s">
        <v>33</v>
      </c>
    </row>
  </sheetData>
  <autoFilter ref="A4:U30" xr:uid="{00000000-0009-0000-0000-000000000000}"/>
  <mergeCells count="2">
    <mergeCell ref="A1:F1"/>
    <mergeCell ref="A2:F2"/>
  </mergeCells>
  <conditionalFormatting sqref="J5:J30">
    <cfRule type="expression" dxfId="7" priority="2">
      <formula>J5="Critical"</formula>
    </cfRule>
    <cfRule type="expression" dxfId="6" priority="3">
      <formula>J5="High"</formula>
    </cfRule>
    <cfRule type="expression" dxfId="5" priority="4">
      <formula>J5="Medium"</formula>
    </cfRule>
    <cfRule type="expression" dxfId="4" priority="5">
      <formula>J5="Low"</formula>
    </cfRule>
  </conditionalFormatting>
  <conditionalFormatting sqref="P5:P30">
    <cfRule type="expression" dxfId="3" priority="6">
      <formula>P5="Critical"</formula>
    </cfRule>
    <cfRule type="expression" dxfId="2" priority="7">
      <formula>P5="High"</formula>
    </cfRule>
    <cfRule type="expression" dxfId="1" priority="8">
      <formula>P5="Medium"</formula>
    </cfRule>
    <cfRule type="expression" dxfId="0" priority="9">
      <formula>P5="Low"</formula>
    </cfRule>
  </conditionalFormatting>
  <dataValidations count="1">
    <dataValidation type="list" allowBlank="1" sqref="U5:U30" xr:uid="{00000000-0002-0000-0000-000000000000}">
      <formula1>"Open,In Progress,Mitigated,Closed,Accepted"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A10" zoomScaleNormal="100" workbookViewId="0">
      <selection sqref="A1:H1"/>
    </sheetView>
  </sheetViews>
  <sheetFormatPr defaultColWidth="8.6328125" defaultRowHeight="14.5" x14ac:dyDescent="0.35"/>
  <cols>
    <col min="2" max="6" width="12" customWidth="1"/>
    <col min="7" max="7" width="30" customWidth="1"/>
    <col min="8" max="8" width="12" customWidth="1"/>
  </cols>
  <sheetData>
    <row r="1" spans="1:8" ht="18" x14ac:dyDescent="0.4">
      <c r="A1" s="23" t="s">
        <v>239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240</v>
      </c>
      <c r="B2" s="24"/>
      <c r="C2" s="24"/>
      <c r="D2" s="24"/>
      <c r="E2" s="24"/>
      <c r="F2" s="24"/>
      <c r="G2" s="24"/>
      <c r="H2" s="24"/>
    </row>
    <row r="4" spans="1:8" ht="18" customHeight="1" x14ac:dyDescent="0.35">
      <c r="B4" s="5" t="s">
        <v>241</v>
      </c>
      <c r="C4" s="6">
        <v>1</v>
      </c>
      <c r="D4" s="6">
        <v>2</v>
      </c>
      <c r="E4" s="6">
        <v>3</v>
      </c>
      <c r="F4" s="6">
        <v>4</v>
      </c>
      <c r="G4" s="6">
        <v>5</v>
      </c>
    </row>
    <row r="5" spans="1:8" x14ac:dyDescent="0.35">
      <c r="B5" s="6">
        <v>5</v>
      </c>
      <c r="C5" s="7">
        <f>COUNTIFS('Risk Register'!$G$5:$G$30,1,'Risk Register'!$H$5:$H$30,5)</f>
        <v>0</v>
      </c>
      <c r="D5" s="8">
        <f>COUNTIFS('Risk Register'!$G$5:$G$30,2,'Risk Register'!$H$5:$H$30,5)</f>
        <v>0</v>
      </c>
      <c r="E5" s="8">
        <f>COUNTIFS('Risk Register'!$G$5:$G$30,3,'Risk Register'!$H$5:$H$30,5)</f>
        <v>5</v>
      </c>
      <c r="F5" s="9">
        <f>COUNTIFS('Risk Register'!$G$5:$G$30,4,'Risk Register'!$H$5:$H$30,5)</f>
        <v>4</v>
      </c>
      <c r="G5" s="9">
        <f>COUNTIFS('Risk Register'!$G$5:$G$30,5,'Risk Register'!$H$5:$H$30,5)</f>
        <v>0</v>
      </c>
    </row>
    <row r="6" spans="1:8" x14ac:dyDescent="0.35">
      <c r="B6" s="6">
        <v>4</v>
      </c>
      <c r="C6" s="10">
        <f>COUNTIFS('Risk Register'!$G$5:$G$30,1,'Risk Register'!$H$5:$H$30,4)</f>
        <v>0</v>
      </c>
      <c r="D6" s="7">
        <f>COUNTIFS('Risk Register'!$G$5:$G$30,2,'Risk Register'!$H$5:$H$30,4)</f>
        <v>2</v>
      </c>
      <c r="E6" s="8">
        <f>COUNTIFS('Risk Register'!$G$5:$G$30,3,'Risk Register'!$H$5:$H$30,4)</f>
        <v>6</v>
      </c>
      <c r="F6" s="9">
        <f>COUNTIFS('Risk Register'!$G$5:$G$30,4,'Risk Register'!$H$5:$H$30,4)</f>
        <v>5</v>
      </c>
      <c r="G6" s="9">
        <f>COUNTIFS('Risk Register'!$G$5:$G$30,5,'Risk Register'!$H$5:$H$30,4)</f>
        <v>1</v>
      </c>
    </row>
    <row r="7" spans="1:8" x14ac:dyDescent="0.35">
      <c r="B7" s="6">
        <v>3</v>
      </c>
      <c r="C7" s="10">
        <f>COUNTIFS('Risk Register'!$G$5:$G$30,1,'Risk Register'!$H$5:$H$30,3)</f>
        <v>0</v>
      </c>
      <c r="D7" s="7">
        <f>COUNTIFS('Risk Register'!$G$5:$G$30,2,'Risk Register'!$H$5:$H$30,3)</f>
        <v>0</v>
      </c>
      <c r="E7" s="7">
        <f>COUNTIFS('Risk Register'!$G$5:$G$30,3,'Risk Register'!$H$5:$H$30,3)</f>
        <v>2</v>
      </c>
      <c r="F7" s="8">
        <f>COUNTIFS('Risk Register'!$G$5:$G$30,4,'Risk Register'!$H$5:$H$30,3)</f>
        <v>1</v>
      </c>
      <c r="G7" s="8">
        <f>COUNTIFS('Risk Register'!$G$5:$G$30,5,'Risk Register'!$H$5:$H$30,3)</f>
        <v>0</v>
      </c>
    </row>
    <row r="8" spans="1:8" x14ac:dyDescent="0.35">
      <c r="B8" s="6">
        <v>2</v>
      </c>
      <c r="C8" s="10">
        <f>COUNTIFS('Risk Register'!$G$5:$G$30,1,'Risk Register'!$H$5:$H$30,2)</f>
        <v>0</v>
      </c>
      <c r="D8" s="10">
        <f>COUNTIFS('Risk Register'!$G$5:$G$30,2,'Risk Register'!$H$5:$H$30,2)</f>
        <v>0</v>
      </c>
      <c r="E8" s="7">
        <f>COUNTIFS('Risk Register'!$G$5:$G$30,3,'Risk Register'!$H$5:$H$30,2)</f>
        <v>0</v>
      </c>
      <c r="F8" s="7">
        <f>COUNTIFS('Risk Register'!$G$5:$G$30,4,'Risk Register'!$H$5:$H$30,2)</f>
        <v>0</v>
      </c>
      <c r="G8" s="8">
        <f>COUNTIFS('Risk Register'!$G$5:$G$30,5,'Risk Register'!$H$5:$H$30,2)</f>
        <v>0</v>
      </c>
    </row>
    <row r="9" spans="1:8" x14ac:dyDescent="0.35">
      <c r="B9" s="6">
        <v>1</v>
      </c>
      <c r="C9" s="10">
        <f>COUNTIFS('Risk Register'!$G$5:$G$30,1,'Risk Register'!$H$5:$H$30,1)</f>
        <v>0</v>
      </c>
      <c r="D9" s="10">
        <f>COUNTIFS('Risk Register'!$G$5:$G$30,2,'Risk Register'!$H$5:$H$30,1)</f>
        <v>0</v>
      </c>
      <c r="E9" s="10">
        <f>COUNTIFS('Risk Register'!$G$5:$G$30,3,'Risk Register'!$H$5:$H$30,1)</f>
        <v>0</v>
      </c>
      <c r="F9" s="10">
        <f>COUNTIFS('Risk Register'!$G$5:$G$30,4,'Risk Register'!$H$5:$H$30,1)</f>
        <v>0</v>
      </c>
      <c r="G9" s="7">
        <f>COUNTIFS('Risk Register'!$G$5:$G$30,5,'Risk Register'!$H$5:$H$30,1)</f>
        <v>0</v>
      </c>
    </row>
    <row r="10" spans="1:8" x14ac:dyDescent="0.35">
      <c r="B10" s="11" t="s">
        <v>242</v>
      </c>
    </row>
    <row r="12" spans="1:8" ht="26" x14ac:dyDescent="0.35">
      <c r="B12" s="12" t="s">
        <v>243</v>
      </c>
      <c r="C12" s="12" t="s">
        <v>244</v>
      </c>
      <c r="D12" s="12" t="s">
        <v>245</v>
      </c>
      <c r="E12" s="12" t="s">
        <v>244</v>
      </c>
      <c r="G12" s="12" t="s">
        <v>2</v>
      </c>
      <c r="H12" s="12" t="s">
        <v>246</v>
      </c>
    </row>
    <row r="13" spans="1:8" x14ac:dyDescent="0.35">
      <c r="B13" s="13" t="s">
        <v>247</v>
      </c>
      <c r="C13" s="14">
        <f>COUNTIF('Risk Register'!$J$5:$J$30,"Critical")</f>
        <v>10</v>
      </c>
      <c r="D13" s="13" t="s">
        <v>247</v>
      </c>
      <c r="E13" s="14">
        <f>COUNTIF('Risk Register'!$P$5:$P$30,"Critical")</f>
        <v>0</v>
      </c>
      <c r="G13" s="15" t="s">
        <v>23</v>
      </c>
      <c r="H13" s="14">
        <f>COUNTIF('Risk Register'!$B$5:$B$30,"General Banking")</f>
        <v>8</v>
      </c>
    </row>
    <row r="14" spans="1:8" x14ac:dyDescent="0.35">
      <c r="B14" s="16" t="s">
        <v>248</v>
      </c>
      <c r="C14" s="14">
        <f>COUNTIF('Risk Register'!$J$5:$J$30,"High")</f>
        <v>12</v>
      </c>
      <c r="D14" s="16" t="s">
        <v>248</v>
      </c>
      <c r="E14" s="14">
        <f>COUNTIF('Risk Register'!$P$5:$P$30,"High")</f>
        <v>8</v>
      </c>
      <c r="G14" s="15" t="s">
        <v>96</v>
      </c>
      <c r="H14" s="14">
        <f>COUNTIF('Risk Register'!$B$5:$B$30,"Fintech &amp; Mobile Money")</f>
        <v>7</v>
      </c>
    </row>
    <row r="15" spans="1:8" x14ac:dyDescent="0.35">
      <c r="B15" s="17" t="s">
        <v>249</v>
      </c>
      <c r="C15" s="14">
        <f>COUNTIF('Risk Register'!$J$5:$J$30,"Medium")</f>
        <v>4</v>
      </c>
      <c r="D15" s="17" t="s">
        <v>249</v>
      </c>
      <c r="E15" s="14">
        <f>COUNTIF('Risk Register'!$P$5:$P$30,"Medium")</f>
        <v>14</v>
      </c>
      <c r="G15" s="15" t="s">
        <v>154</v>
      </c>
      <c r="H15" s="14">
        <f>COUNTIF('Risk Register'!$B$5:$B$30,"Project &amp; Shipping (Trade) Finance")</f>
        <v>5</v>
      </c>
    </row>
    <row r="16" spans="1:8" x14ac:dyDescent="0.35">
      <c r="B16" s="18" t="s">
        <v>250</v>
      </c>
      <c r="C16" s="14">
        <f>COUNTIF('Risk Register'!$J$5:$J$30,"Low")</f>
        <v>0</v>
      </c>
      <c r="D16" s="18" t="s">
        <v>250</v>
      </c>
      <c r="E16" s="14">
        <f>COUNTIF('Risk Register'!$P$5:$P$30,"Low")</f>
        <v>4</v>
      </c>
      <c r="G16" s="15" t="s">
        <v>193</v>
      </c>
      <c r="H16" s="14">
        <f>COUNTIF('Risk Register'!$B$5:$B$30,"Enterprise-wide / Governance")</f>
        <v>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Normal="100" workbookViewId="0">
      <selection sqref="A1:D1"/>
    </sheetView>
  </sheetViews>
  <sheetFormatPr defaultColWidth="8.6328125" defaultRowHeight="14.5" x14ac:dyDescent="0.35"/>
  <cols>
    <col min="1" max="1" width="16" customWidth="1"/>
    <col min="2" max="2" width="48" customWidth="1"/>
    <col min="3" max="3" width="40" customWidth="1"/>
    <col min="4" max="4" width="20" customWidth="1"/>
  </cols>
  <sheetData>
    <row r="1" spans="1:4" ht="18" x14ac:dyDescent="0.4">
      <c r="A1" s="23" t="s">
        <v>251</v>
      </c>
      <c r="B1" s="23"/>
      <c r="C1" s="23"/>
      <c r="D1" s="23"/>
    </row>
    <row r="3" spans="1:4" x14ac:dyDescent="0.35">
      <c r="A3" s="5" t="s">
        <v>252</v>
      </c>
    </row>
    <row r="4" spans="1:4" x14ac:dyDescent="0.35">
      <c r="A4" s="1" t="s">
        <v>253</v>
      </c>
      <c r="B4" s="1" t="s">
        <v>254</v>
      </c>
      <c r="C4" s="1" t="s">
        <v>255</v>
      </c>
    </row>
    <row r="5" spans="1:4" ht="30" customHeight="1" x14ac:dyDescent="0.35">
      <c r="A5" s="2">
        <v>1</v>
      </c>
      <c r="B5" s="2" t="s">
        <v>256</v>
      </c>
      <c r="C5" s="2" t="s">
        <v>257</v>
      </c>
    </row>
    <row r="6" spans="1:4" ht="30" customHeight="1" x14ac:dyDescent="0.35">
      <c r="A6" s="2">
        <v>2</v>
      </c>
      <c r="B6" s="2" t="s">
        <v>258</v>
      </c>
      <c r="C6" s="2" t="s">
        <v>259</v>
      </c>
    </row>
    <row r="7" spans="1:4" ht="30" customHeight="1" x14ac:dyDescent="0.35">
      <c r="A7" s="2">
        <v>3</v>
      </c>
      <c r="B7" s="2" t="s">
        <v>260</v>
      </c>
      <c r="C7" s="2" t="s">
        <v>261</v>
      </c>
    </row>
    <row r="8" spans="1:4" ht="30" customHeight="1" x14ac:dyDescent="0.35">
      <c r="A8" s="2">
        <v>4</v>
      </c>
      <c r="B8" s="2" t="s">
        <v>262</v>
      </c>
      <c r="C8" s="2" t="s">
        <v>263</v>
      </c>
    </row>
    <row r="9" spans="1:4" ht="30" customHeight="1" x14ac:dyDescent="0.35">
      <c r="A9" s="2">
        <v>5</v>
      </c>
      <c r="B9" s="2" t="s">
        <v>264</v>
      </c>
      <c r="C9" s="2" t="s">
        <v>265</v>
      </c>
    </row>
    <row r="11" spans="1:4" x14ac:dyDescent="0.35">
      <c r="A11" s="5" t="s">
        <v>266</v>
      </c>
    </row>
    <row r="12" spans="1:4" x14ac:dyDescent="0.35">
      <c r="A12" s="1" t="s">
        <v>267</v>
      </c>
      <c r="B12" s="1" t="s">
        <v>268</v>
      </c>
      <c r="C12" s="1" t="s">
        <v>269</v>
      </c>
    </row>
    <row r="13" spans="1:4" ht="25" x14ac:dyDescent="0.35">
      <c r="A13" s="2" t="s">
        <v>270</v>
      </c>
      <c r="B13" s="19" t="s">
        <v>247</v>
      </c>
      <c r="C13" s="2" t="s">
        <v>271</v>
      </c>
    </row>
    <row r="14" spans="1:4" ht="25" x14ac:dyDescent="0.35">
      <c r="A14" s="2" t="s">
        <v>272</v>
      </c>
      <c r="B14" s="20" t="s">
        <v>248</v>
      </c>
      <c r="C14" s="2" t="s">
        <v>273</v>
      </c>
    </row>
    <row r="15" spans="1:4" ht="25" x14ac:dyDescent="0.35">
      <c r="A15" s="2" t="s">
        <v>274</v>
      </c>
      <c r="B15" s="21" t="s">
        <v>249</v>
      </c>
      <c r="C15" s="2" t="s">
        <v>275</v>
      </c>
    </row>
    <row r="16" spans="1:4" ht="25" x14ac:dyDescent="0.35">
      <c r="A16" s="2" t="s">
        <v>276</v>
      </c>
      <c r="B16" s="22" t="s">
        <v>250</v>
      </c>
      <c r="C16" s="2" t="s">
        <v>277</v>
      </c>
    </row>
    <row r="18" spans="1:2" x14ac:dyDescent="0.35">
      <c r="A18" s="5" t="s">
        <v>278</v>
      </c>
    </row>
    <row r="19" spans="1:2" x14ac:dyDescent="0.35">
      <c r="A19" s="1" t="s">
        <v>279</v>
      </c>
      <c r="B19" s="1" t="s">
        <v>280</v>
      </c>
    </row>
    <row r="20" spans="1:2" ht="25" x14ac:dyDescent="0.35">
      <c r="A20" s="2" t="s">
        <v>281</v>
      </c>
      <c r="B20" s="2" t="s">
        <v>282</v>
      </c>
    </row>
    <row r="21" spans="1:2" ht="25" x14ac:dyDescent="0.35">
      <c r="A21" s="2" t="s">
        <v>283</v>
      </c>
      <c r="B21" s="2" t="s">
        <v>284</v>
      </c>
    </row>
    <row r="22" spans="1:2" x14ac:dyDescent="0.35">
      <c r="A22" s="2" t="s">
        <v>285</v>
      </c>
      <c r="B22" s="2" t="s">
        <v>286</v>
      </c>
    </row>
    <row r="23" spans="1:2" x14ac:dyDescent="0.35">
      <c r="A23" s="2" t="s">
        <v>287</v>
      </c>
      <c r="B23" s="2" t="s">
        <v>288</v>
      </c>
    </row>
    <row r="24" spans="1:2" x14ac:dyDescent="0.35">
      <c r="A24" s="2" t="s">
        <v>289</v>
      </c>
      <c r="B24" s="2" t="s">
        <v>290</v>
      </c>
    </row>
    <row r="25" spans="1:2" ht="25" x14ac:dyDescent="0.35">
      <c r="A25" s="2" t="s">
        <v>291</v>
      </c>
      <c r="B25" s="2" t="s">
        <v>292</v>
      </c>
    </row>
    <row r="26" spans="1:2" ht="25" x14ac:dyDescent="0.35">
      <c r="A26" s="2" t="s">
        <v>293</v>
      </c>
      <c r="B26" s="2" t="s">
        <v>294</v>
      </c>
    </row>
    <row r="27" spans="1:2" ht="25" x14ac:dyDescent="0.35">
      <c r="A27" s="2" t="s">
        <v>295</v>
      </c>
      <c r="B27" s="2" t="s">
        <v>296</v>
      </c>
    </row>
    <row r="28" spans="1:2" ht="25" x14ac:dyDescent="0.35">
      <c r="A28" s="2" t="s">
        <v>297</v>
      </c>
      <c r="B28" s="2" t="s">
        <v>298</v>
      </c>
    </row>
    <row r="29" spans="1:2" ht="25" x14ac:dyDescent="0.35">
      <c r="A29" s="2" t="s">
        <v>299</v>
      </c>
      <c r="B29" s="2" t="s">
        <v>300</v>
      </c>
    </row>
    <row r="30" spans="1:2" ht="25" x14ac:dyDescent="0.35">
      <c r="A30" s="2" t="s">
        <v>301</v>
      </c>
      <c r="B30" s="2" t="s">
        <v>302</v>
      </c>
    </row>
    <row r="31" spans="1:2" x14ac:dyDescent="0.35">
      <c r="A31" s="2" t="s">
        <v>303</v>
      </c>
      <c r="B31" s="2" t="s">
        <v>304</v>
      </c>
    </row>
    <row r="32" spans="1:2" ht="25" x14ac:dyDescent="0.35">
      <c r="A32" s="2" t="s">
        <v>305</v>
      </c>
      <c r="B32" s="2" t="s">
        <v>306</v>
      </c>
    </row>
    <row r="33" spans="1:2" x14ac:dyDescent="0.35">
      <c r="A33" s="2" t="s">
        <v>307</v>
      </c>
      <c r="B33" s="2" t="s">
        <v>308</v>
      </c>
    </row>
    <row r="34" spans="1:2" ht="25" x14ac:dyDescent="0.35">
      <c r="A34" s="2" t="s">
        <v>309</v>
      </c>
      <c r="B34" s="2" t="s">
        <v>310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Heat Map &amp; Dashboard</vt:lpstr>
      <vt:lpstr>Legend &amp;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Senason</cp:lastModifiedBy>
  <cp:revision>1</cp:revision>
  <dcterms:created xsi:type="dcterms:W3CDTF">2026-09-15T01:58:14Z</dcterms:created>
  <dcterms:modified xsi:type="dcterms:W3CDTF">2026-09-16T19:55:24Z</dcterms:modified>
  <dc:language>en-US</dc:language>
</cp:coreProperties>
</file>